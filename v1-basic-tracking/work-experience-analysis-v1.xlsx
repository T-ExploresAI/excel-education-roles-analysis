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rama\Documents\Excel Portfolio\README Notes.txt\excel-education-roles-analysis\"/>
    </mc:Choice>
  </mc:AlternateContent>
  <xr:revisionPtr revIDLastSave="0" documentId="13_ncr:1_{B4F446A7-5427-42A4-8E4D-FB7E58BB8106}" xr6:coauthVersionLast="47" xr6:coauthVersionMax="47" xr10:uidLastSave="{00000000-0000-0000-0000-000000000000}"/>
  <bookViews>
    <workbookView xWindow="-110" yWindow="-110" windowWidth="19420" windowHeight="11020" firstSheet="3" activeTab="5" xr2:uid="{41643787-B3B8-4759-B526-9232B8F38088}"/>
  </bookViews>
  <sheets>
    <sheet name="Education_Roles" sheetId="1" r:id="rId1"/>
    <sheet name="Summary" sheetId="2" r:id="rId2"/>
    <sheet name="Pivot_Country_Role_Breakdown" sheetId="3" r:id="rId3"/>
    <sheet name="Pivot_Summary" sheetId="4" r:id="rId4"/>
    <sheet name="Work_Clean" sheetId="5" r:id="rId5"/>
    <sheet name="Work_Summary" sheetId="6" r:id="rId6"/>
  </sheets>
  <externalReferences>
    <externalReference r:id="rId7"/>
  </externalReferences>
  <definedNames>
    <definedName name="Slicer_Role_Category">#N/A</definedName>
  </definedNames>
  <calcPr calcId="191029"/>
  <pivotCaches>
    <pivotCache cacheId="0" r:id="rId8"/>
    <pivotCache cacheId="1" r:id="rId9"/>
    <pivotCache cacheId="36" r:id="rId10"/>
  </pivotCaches>
  <fileRecoveryPr repairLoad="1"/>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6" i="5" l="1"/>
  <c r="I46" i="5"/>
  <c r="J46" i="5" s="1"/>
  <c r="K46" i="5"/>
  <c r="H45" i="5"/>
  <c r="I45" i="5"/>
  <c r="J45" i="5" s="1"/>
  <c r="K45" i="5"/>
  <c r="H44" i="5"/>
  <c r="I44" i="5"/>
  <c r="J44" i="5" s="1"/>
  <c r="K44" i="5"/>
  <c r="H43" i="5"/>
  <c r="I43" i="5"/>
  <c r="J43" i="5" s="1"/>
  <c r="K43" i="5"/>
  <c r="H42" i="5"/>
  <c r="I42" i="5"/>
  <c r="J42" i="5" s="1"/>
  <c r="K42"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I41" i="5"/>
  <c r="J41" i="5" s="1"/>
  <c r="H41" i="5"/>
  <c r="I40" i="5"/>
  <c r="J40" i="5" s="1"/>
  <c r="H40" i="5"/>
  <c r="I39" i="5"/>
  <c r="J39" i="5" s="1"/>
  <c r="H39" i="5"/>
  <c r="I38" i="5"/>
  <c r="J38" i="5" s="1"/>
  <c r="H38" i="5"/>
  <c r="I37" i="5"/>
  <c r="J37" i="5" s="1"/>
  <c r="H37" i="5"/>
  <c r="I36" i="5"/>
  <c r="J36" i="5" s="1"/>
  <c r="H36" i="5"/>
  <c r="I35" i="5"/>
  <c r="J35" i="5" s="1"/>
  <c r="H35" i="5"/>
  <c r="I34" i="5"/>
  <c r="J34" i="5" s="1"/>
  <c r="H34" i="5"/>
  <c r="I33" i="5"/>
  <c r="J33" i="5" s="1"/>
  <c r="H33" i="5"/>
  <c r="I32" i="5"/>
  <c r="J32" i="5" s="1"/>
  <c r="H32" i="5"/>
  <c r="I31" i="5"/>
  <c r="J31" i="5" s="1"/>
  <c r="H31" i="5"/>
  <c r="I30" i="5"/>
  <c r="J30" i="5" s="1"/>
  <c r="H30" i="5"/>
  <c r="I29" i="5"/>
  <c r="J29" i="5" s="1"/>
  <c r="H29" i="5"/>
  <c r="I28" i="5"/>
  <c r="J28" i="5" s="1"/>
  <c r="H28" i="5"/>
  <c r="I27" i="5"/>
  <c r="J27" i="5" s="1"/>
  <c r="H27" i="5"/>
  <c r="I26" i="5"/>
  <c r="J26" i="5" s="1"/>
  <c r="H26" i="5"/>
  <c r="I25" i="5"/>
  <c r="J25" i="5" s="1"/>
  <c r="H25" i="5"/>
  <c r="I24" i="5"/>
  <c r="J24" i="5" s="1"/>
  <c r="H24" i="5"/>
  <c r="I23" i="5"/>
  <c r="J23" i="5" s="1"/>
  <c r="H23" i="5"/>
  <c r="I22" i="5"/>
  <c r="J22" i="5" s="1"/>
  <c r="H22" i="5"/>
  <c r="I21" i="5"/>
  <c r="J21" i="5" s="1"/>
  <c r="H21" i="5"/>
  <c r="I20" i="5"/>
  <c r="J20" i="5" s="1"/>
  <c r="H20" i="5"/>
  <c r="I19" i="5"/>
  <c r="J19" i="5" s="1"/>
  <c r="H19" i="5"/>
  <c r="I18" i="5"/>
  <c r="J18" i="5" s="1"/>
  <c r="H18" i="5"/>
  <c r="I17" i="5"/>
  <c r="J17" i="5" s="1"/>
  <c r="H17" i="5"/>
  <c r="I16" i="5"/>
  <c r="J16" i="5" s="1"/>
  <c r="H16" i="5"/>
  <c r="I15" i="5"/>
  <c r="J15" i="5" s="1"/>
  <c r="H15" i="5"/>
  <c r="I14" i="5"/>
  <c r="J14" i="5" s="1"/>
  <c r="H14" i="5"/>
  <c r="I13" i="5"/>
  <c r="J13" i="5" s="1"/>
  <c r="H13" i="5"/>
  <c r="I12" i="5"/>
  <c r="J12" i="5" s="1"/>
  <c r="H12" i="5"/>
  <c r="I11" i="5"/>
  <c r="J11" i="5" s="1"/>
  <c r="H11" i="5"/>
  <c r="I10" i="5"/>
  <c r="J10" i="5" s="1"/>
  <c r="H10" i="5"/>
  <c r="I9" i="5"/>
  <c r="J9" i="5" s="1"/>
  <c r="H9" i="5"/>
  <c r="I8" i="5"/>
  <c r="J8" i="5" s="1"/>
  <c r="H8" i="5"/>
  <c r="I7" i="5"/>
  <c r="J7" i="5" s="1"/>
  <c r="H7" i="5"/>
  <c r="I6" i="5"/>
  <c r="J6" i="5" s="1"/>
  <c r="H6" i="5"/>
  <c r="I5" i="5"/>
  <c r="J5" i="5" s="1"/>
  <c r="H5" i="5"/>
  <c r="I4" i="5"/>
  <c r="J4" i="5" s="1"/>
  <c r="H4" i="5"/>
  <c r="I3" i="5"/>
  <c r="J3" i="5" s="1"/>
  <c r="H3" i="5"/>
  <c r="I2" i="5"/>
  <c r="J2" i="5" s="1"/>
  <c r="H2" i="5"/>
  <c r="A12" i="2" l="1" a="1"/>
  <c r="A12" i="2" s="1"/>
  <c r="G39" i="1"/>
  <c r="H39" i="1"/>
  <c r="I39" i="1" s="1"/>
  <c r="B12" i="2" l="1"/>
  <c r="B10" i="2" l="1"/>
  <c r="B5" i="2"/>
  <c r="B4" i="2"/>
  <c r="B3" i="2"/>
  <c r="H41" i="1"/>
  <c r="I41" i="1" s="1"/>
  <c r="G41" i="1"/>
  <c r="H40" i="1"/>
  <c r="I40" i="1" s="1"/>
  <c r="G40" i="1"/>
  <c r="H38" i="1"/>
  <c r="I38" i="1" s="1"/>
  <c r="G38" i="1"/>
  <c r="H37" i="1"/>
  <c r="I37" i="1" s="1"/>
  <c r="G37" i="1"/>
  <c r="H36" i="1"/>
  <c r="I36" i="1" s="1"/>
  <c r="G36" i="1"/>
  <c r="H35" i="1"/>
  <c r="I35" i="1" s="1"/>
  <c r="G35" i="1"/>
  <c r="H34" i="1"/>
  <c r="I34" i="1" s="1"/>
  <c r="G34" i="1"/>
  <c r="H33" i="1"/>
  <c r="I33" i="1" s="1"/>
  <c r="G33" i="1"/>
  <c r="H32" i="1"/>
  <c r="I32" i="1" s="1"/>
  <c r="G32" i="1"/>
  <c r="H31" i="1"/>
  <c r="I31" i="1" s="1"/>
  <c r="G31" i="1"/>
  <c r="H30" i="1"/>
  <c r="I30" i="1" s="1"/>
  <c r="G30" i="1"/>
  <c r="H29" i="1"/>
  <c r="I29" i="1" s="1"/>
  <c r="G29" i="1"/>
  <c r="H28" i="1"/>
  <c r="I28" i="1" s="1"/>
  <c r="G28" i="1"/>
  <c r="H27" i="1"/>
  <c r="I27" i="1" s="1"/>
  <c r="G27" i="1"/>
  <c r="H26" i="1"/>
  <c r="I26" i="1" s="1"/>
  <c r="G26" i="1"/>
  <c r="H25" i="1"/>
  <c r="I25" i="1" s="1"/>
  <c r="G25" i="1"/>
  <c r="H24" i="1"/>
  <c r="I24" i="1" s="1"/>
  <c r="G24" i="1"/>
  <c r="H23" i="1"/>
  <c r="I23" i="1" s="1"/>
  <c r="G23" i="1"/>
  <c r="H22" i="1"/>
  <c r="I22" i="1" s="1"/>
  <c r="G22" i="1"/>
  <c r="H21" i="1"/>
  <c r="I21" i="1" s="1"/>
  <c r="G21" i="1"/>
  <c r="H20" i="1"/>
  <c r="I20" i="1" s="1"/>
  <c r="G20" i="1"/>
  <c r="H19" i="1"/>
  <c r="I19" i="1" s="1"/>
  <c r="G19" i="1"/>
  <c r="H18" i="1"/>
  <c r="I18" i="1" s="1"/>
  <c r="G18" i="1"/>
  <c r="H17" i="1"/>
  <c r="I17" i="1" s="1"/>
  <c r="G17" i="1"/>
  <c r="H16" i="1"/>
  <c r="I16" i="1" s="1"/>
  <c r="G16" i="1"/>
  <c r="H15" i="1"/>
  <c r="I15" i="1" s="1"/>
  <c r="G15" i="1"/>
  <c r="H14" i="1"/>
  <c r="I14" i="1" s="1"/>
  <c r="G14" i="1"/>
  <c r="H13" i="1"/>
  <c r="I13" i="1" s="1"/>
  <c r="G13" i="1"/>
  <c r="H12" i="1"/>
  <c r="I12" i="1" s="1"/>
  <c r="G12" i="1"/>
  <c r="H11" i="1"/>
  <c r="I11" i="1" s="1"/>
  <c r="G11" i="1"/>
  <c r="H10" i="1"/>
  <c r="I10" i="1" s="1"/>
  <c r="G10" i="1"/>
  <c r="H9" i="1"/>
  <c r="I9" i="1" s="1"/>
  <c r="G9" i="1"/>
  <c r="H8" i="1"/>
  <c r="I8" i="1" s="1"/>
  <c r="G8" i="1"/>
  <c r="H7" i="1"/>
  <c r="I7" i="1" s="1"/>
  <c r="G7" i="1"/>
  <c r="H6" i="1"/>
  <c r="I6" i="1" s="1"/>
  <c r="G6" i="1"/>
  <c r="H5" i="1"/>
  <c r="I5" i="1" s="1"/>
  <c r="G5" i="1"/>
  <c r="H4" i="1"/>
  <c r="I4" i="1" s="1"/>
  <c r="G4" i="1"/>
  <c r="H3" i="1"/>
  <c r="I3" i="1" s="1"/>
  <c r="G3" i="1"/>
  <c r="H2" i="1"/>
  <c r="I2" i="1" s="1"/>
  <c r="G2" i="1"/>
  <c r="B8" i="2" l="1"/>
  <c r="B6" i="2"/>
  <c r="B7"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<sst xmlns="http://schemas.openxmlformats.org/spreadsheetml/2006/main" count="456" uniqueCount="85">
  <si>
    <t>School_Name</t>
  </si>
  <si>
    <t>Role</t>
  </si>
  <si>
    <t>City</t>
  </si>
  <si>
    <t>Country</t>
  </si>
  <si>
    <t>Start_Date</t>
  </si>
  <si>
    <t>End_Date</t>
  </si>
  <si>
    <t>Duration_Months_Days</t>
  </si>
  <si>
    <t>Duration_Days</t>
  </si>
  <si>
    <t>Duration_Weeks</t>
  </si>
  <si>
    <t>Teacher</t>
  </si>
  <si>
    <t>City_A</t>
  </si>
  <si>
    <t>Honduras</t>
  </si>
  <si>
    <t>Teaching Assistant</t>
  </si>
  <si>
    <t>City_B</t>
  </si>
  <si>
    <t>England</t>
  </si>
  <si>
    <t>City_C</t>
  </si>
  <si>
    <t>City_D</t>
  </si>
  <si>
    <t>City_E</t>
  </si>
  <si>
    <t>City_F</t>
  </si>
  <si>
    <t>City_G</t>
  </si>
  <si>
    <t>City_H</t>
  </si>
  <si>
    <t xml:space="preserve"> `</t>
  </si>
  <si>
    <t>City_I</t>
  </si>
  <si>
    <t>City_J</t>
  </si>
  <si>
    <t>Education Roles Summary</t>
  </si>
  <si>
    <t>Total Roles</t>
  </si>
  <si>
    <t>Total Teacher Roles</t>
  </si>
  <si>
    <t>Total Teaching Assistant Roles</t>
  </si>
  <si>
    <t>Total Days Worked</t>
  </si>
  <si>
    <t>Total Weeks Worked</t>
  </si>
  <si>
    <t>Average Role Duration(Days)</t>
  </si>
  <si>
    <t>Roles per Country</t>
  </si>
  <si>
    <t>Count</t>
  </si>
  <si>
    <t>Count of Role</t>
  </si>
  <si>
    <t>School_B (Secondary)</t>
  </si>
  <si>
    <t>School_C (Secondary)</t>
  </si>
  <si>
    <t>School_D (Secondary)</t>
  </si>
  <si>
    <t>School_E (Secondary)</t>
  </si>
  <si>
    <t>School_F (Nursery)</t>
  </si>
  <si>
    <t>School_K (Nursery)</t>
  </si>
  <si>
    <t>School_M (Nursery)</t>
  </si>
  <si>
    <t>School_N (Nursery)</t>
  </si>
  <si>
    <t>School_O (Nursery)</t>
  </si>
  <si>
    <t xml:space="preserve">School_Q (Secondary) </t>
  </si>
  <si>
    <t>School_U (Nursery)</t>
  </si>
  <si>
    <t>School_V (Secondary)</t>
  </si>
  <si>
    <t>School_H (Primary)</t>
  </si>
  <si>
    <t>School_W (Primary)</t>
  </si>
  <si>
    <t>School_X (Primary)</t>
  </si>
  <si>
    <t>School_R (Primary)</t>
  </si>
  <si>
    <t>School_S (Primary)</t>
  </si>
  <si>
    <t>School_T (Primary)</t>
  </si>
  <si>
    <t>School_J (Primary)</t>
  </si>
  <si>
    <t>School_I (Primary)</t>
  </si>
  <si>
    <t>School_P (Primary)</t>
  </si>
  <si>
    <t>School_G (Primary)</t>
  </si>
  <si>
    <t>School_L (Primary)</t>
  </si>
  <si>
    <t>School_A (Primary)</t>
  </si>
  <si>
    <t>Row Labels</t>
  </si>
  <si>
    <t>Grand Total</t>
  </si>
  <si>
    <t>Sum of Duration_Days</t>
  </si>
  <si>
    <t>School_W (Adult)</t>
  </si>
  <si>
    <t>School_Y (Primary)</t>
  </si>
  <si>
    <t>City_K</t>
  </si>
  <si>
    <t>Online</t>
  </si>
  <si>
    <t>Year_Started</t>
  </si>
  <si>
    <t>Role_Category</t>
  </si>
  <si>
    <t>Education</t>
  </si>
  <si>
    <t>Warehous Operative</t>
  </si>
  <si>
    <t>Admin</t>
  </si>
  <si>
    <t>Admin Assistant</t>
  </si>
  <si>
    <t>Organisation</t>
  </si>
  <si>
    <t>Market Researcher</t>
  </si>
  <si>
    <t>Bermuda</t>
  </si>
  <si>
    <t>City_L</t>
  </si>
  <si>
    <t>City_M</t>
  </si>
  <si>
    <t>Museum Operative</t>
  </si>
  <si>
    <t>City_N</t>
  </si>
  <si>
    <t>Warehouse_A</t>
  </si>
  <si>
    <t>Hotel_A</t>
  </si>
  <si>
    <t>Data_A</t>
  </si>
  <si>
    <t>Museum_A</t>
  </si>
  <si>
    <t>Payroll Administrator</t>
  </si>
  <si>
    <t>Call_Center_A</t>
  </si>
  <si>
    <t>Sum of Duration_Years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</si>
</sst>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409]d\-mmm\-yyyy;@"/>
    <numFmt numFmtId="166" formatCode="0.0"/>
  </numFmts>
  <fonts count="1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scheme val="minor"/>
    </font>
    <font>
      <b/>
      <sz val="12"/>
      <color theme="1"/>
      <name val="Calibri"/>
      <family val="2"/>
    </font>
    <font>
      <sz val="11"/>
      <color theme="1"/>
      <name val="Calibri"/>
      <family val="2"/>
    </font>
    <font>
      <sz val="11"/>
      <color theme="1"/>
      <name val="Calibri"/>
    </font>
    <font>
      <b/>
      <sz val="14"/>
      <color theme="1"/>
      <name val="Calibri"/>
      <family val="2"/>
      <scheme val="minor"/>
    </font>
    <font>
      <b/>
      <sz val="12"/>
      <color theme="1"/>
      <name val="Calibri"/>
      <family val="2"/>
      <scheme val="minor"/>
    </font>
    <font>
      <sz val="12"/>
      <color theme="1"/>
      <name val="Calibri"/>
    </font>
  </fonts>
  <fills count="2">
    <fill>
      <patternFill patternType="none"/>
    </fill>
    <fill>
      <patternFill patternType="gray125"/>
    </fill>
  </fills>
  <borders count="3">
    <border>
      <left/>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26">
    <xf numFmtId="0" fontId="0" fillId="0" borderId="0" xfId="0"/>
    <xf numFmtId="0" fontId="5" fillId="0" borderId="1" xfId="0" applyFont="1" applyBorder="1" applyAlignment="1">
      <alignment horizontal="left" vertical="top"/>
    </xf>
    <xf numFmtId="164" fontId="5" fillId="0" borderId="1" xfId="0" applyNumberFormat="1" applyFont="1" applyBorder="1" applyAlignment="1">
      <alignment horizontal="left" vertical="top"/>
    </xf>
    <xf numFmtId="1" fontId="5" fillId="0" borderId="1" xfId="0" applyNumberFormat="1" applyFont="1" applyBorder="1" applyAlignment="1">
      <alignment horizontal="left" vertical="top"/>
    </xf>
    <xf numFmtId="0" fontId="3" fillId="0" borderId="0" xfId="0" applyFont="1"/>
    <xf numFmtId="0" fontId="6" fillId="0" borderId="0" xfId="0" applyFont="1" applyAlignment="1">
      <alignment horizontal="left" vertical="top"/>
    </xf>
    <xf numFmtId="165" fontId="6" fillId="0" borderId="0" xfId="0" applyNumberFormat="1" applyFont="1" applyAlignment="1">
      <alignment horizontal="right" vertical="top"/>
    </xf>
    <xf numFmtId="1" fontId="7" fillId="0" borderId="0" xfId="0" applyNumberFormat="1" applyFont="1"/>
    <xf numFmtId="166" fontId="4" fillId="0" borderId="0" xfId="0" applyNumberFormat="1" applyFont="1"/>
    <xf numFmtId="0" fontId="3" fillId="0" borderId="0" xfId="0" applyFont="1" applyAlignment="1">
      <alignment horizontal="left"/>
    </xf>
    <xf numFmtId="0" fontId="0" fillId="0" borderId="0" xfId="0" applyAlignment="1">
      <alignment horizontal="left"/>
    </xf>
    <xf numFmtId="0" fontId="4" fillId="0" borderId="0" xfId="0" applyFont="1"/>
    <xf numFmtId="165" fontId="7" fillId="0" borderId="0" xfId="0" applyNumberFormat="1" applyFont="1"/>
    <xf numFmtId="166" fontId="0" fillId="0" borderId="0" xfId="0" applyNumberFormat="1"/>
    <xf numFmtId="0" fontId="2" fillId="0" borderId="0" xfId="0" applyFont="1"/>
    <xf numFmtId="165" fontId="2" fillId="0" borderId="0" xfId="0" applyNumberFormat="1" applyFont="1"/>
    <xf numFmtId="0" fontId="8" fillId="0" borderId="0" xfId="0" applyFont="1"/>
    <xf numFmtId="1" fontId="0" fillId="0" borderId="0" xfId="0" applyNumberFormat="1"/>
    <xf numFmtId="0" fontId="9" fillId="0" borderId="0" xfId="0" applyFont="1"/>
    <xf numFmtId="0" fontId="1" fillId="0" borderId="0" xfId="0" applyFont="1"/>
    <xf numFmtId="0" fontId="0" fillId="0" borderId="0" xfId="0" pivotButton="1"/>
    <xf numFmtId="0" fontId="0" fillId="0" borderId="0" xfId="0" applyFont="1"/>
    <xf numFmtId="0" fontId="7" fillId="0" borderId="0" xfId="0" applyFont="1"/>
    <xf numFmtId="0" fontId="10" fillId="0" borderId="2" xfId="0" applyFont="1" applyBorder="1" applyAlignment="1">
      <alignment horizontal="left" vertical="top"/>
    </xf>
    <xf numFmtId="166" fontId="0" fillId="0" borderId="0" xfId="0" applyNumberFormat="1" applyFont="1"/>
    <xf numFmtId="0" fontId="7" fillId="0" borderId="0" xfId="0" applyNumberFormat="1" applyFont="1"/>
  </cellXfs>
  <cellStyles count="1">
    <cellStyle name="Normal" xfId="0" builtinId="0"/>
  </cellStyles>
  <dxfs count="28">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minor"/>
      </font>
      <numFmt numFmtId="166" formatCode="0.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65" formatCode="[$-409]d\-mmm\-yyyy;@"/>
    </dxf>
    <dxf>
      <font>
        <b val="0"/>
        <i val="0"/>
        <strike val="0"/>
        <condense val="0"/>
        <extend val="0"/>
        <outline val="0"/>
        <shadow val="0"/>
        <u val="none"/>
        <vertAlign val="baseline"/>
        <sz val="11"/>
        <color theme="1"/>
        <name val="Calibri"/>
        <scheme val="none"/>
      </font>
      <numFmt numFmtId="165" formatCode="[$-409]d\-m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rgb="FF000000"/>
        </bottom>
      </border>
    </dxf>
    <dxf>
      <border outline="0">
        <top style="thin">
          <color rgb="FF000000"/>
        </top>
      </border>
    </dxf>
    <dxf>
      <font>
        <b val="0"/>
        <i val="0"/>
        <strike val="0"/>
        <condense val="0"/>
        <extend val="0"/>
        <outline val="0"/>
        <shadow val="0"/>
        <u val="none"/>
        <vertAlign val="baseline"/>
        <sz val="11"/>
        <color theme="1"/>
        <name val="Calibri"/>
        <scheme val="none"/>
      </font>
    </dxf>
    <dxf>
      <font>
        <strike val="0"/>
        <outline val="0"/>
        <shadow val="0"/>
        <u val="none"/>
        <vertAlign val="baseline"/>
        <sz val="12"/>
        <color theme="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0.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65" formatCode="[$-409]d\-mmm\-yyyy;@"/>
    </dxf>
    <dxf>
      <font>
        <b val="0"/>
        <i val="0"/>
        <strike val="0"/>
        <condense val="0"/>
        <extend val="0"/>
        <outline val="0"/>
        <shadow val="0"/>
        <u val="none"/>
        <vertAlign val="baseline"/>
        <sz val="11"/>
        <color theme="1"/>
        <name val="Calibri"/>
        <scheme val="none"/>
      </font>
      <numFmt numFmtId="165" formatCode="[$-409]d\-m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none"/>
      </font>
    </dxf>
    <dxf>
      <border outline="0">
        <bottom style="thin">
          <color rgb="FF000000"/>
        </bottom>
      </border>
    </dxf>
    <dxf>
      <font>
        <strike val="0"/>
        <outline val="0"/>
        <shadow val="0"/>
        <u val="none"/>
        <vertAlign val="baseline"/>
        <sz val="12"/>
        <color theme="1"/>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Roles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Summary!$A$12:$A$13</c:f>
              <c:strCache>
                <c:ptCount val="2"/>
                <c:pt idx="0">
                  <c:v>Honduras</c:v>
                </c:pt>
                <c:pt idx="1">
                  <c:v>England</c:v>
                </c:pt>
              </c:strCache>
            </c:strRef>
          </c:cat>
          <c:val>
            <c:numRef>
              <c:f>Summary!$B$12:$B$13</c:f>
              <c:numCache>
                <c:formatCode>General</c:formatCode>
                <c:ptCount val="2"/>
                <c:pt idx="0">
                  <c:v>1</c:v>
                </c:pt>
              </c:numCache>
            </c:numRef>
          </c:val>
          <c:extLst>
            <c:ext xmlns:c16="http://schemas.microsoft.com/office/drawing/2014/chart" uri="{C3380CC4-5D6E-409C-BE32-E72D297353CC}">
              <c16:uniqueId val="{00000000-D6AD-468C-9292-2FA5F8A11C85}"/>
            </c:ext>
          </c:extLst>
        </c:ser>
        <c:dLbls>
          <c:showLegendKey val="0"/>
          <c:showVal val="0"/>
          <c:showCatName val="0"/>
          <c:showSerName val="0"/>
          <c:showPercent val="0"/>
          <c:showBubbleSize val="0"/>
        </c:dLbls>
        <c:gapWidth val="219"/>
        <c:overlap val="-27"/>
        <c:axId val="1434138448"/>
        <c:axId val="1434148528"/>
      </c:barChart>
      <c:catAx>
        <c:axId val="14341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148528"/>
        <c:crosses val="autoZero"/>
        <c:auto val="1"/>
        <c:lblAlgn val="ctr"/>
        <c:lblOffset val="100"/>
        <c:noMultiLvlLbl val="0"/>
      </c:catAx>
      <c:valAx>
        <c:axId val="143414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13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[education_roles_analysis.xlsx]Work_Summary!PivotTable6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Work Experience by Role Category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Work_Summary!$B$1</c:f>
              <c:strCache>
                <c:ptCount val="1"/>
                <c:pt idx="0">
                  <c:v>Sum of Duration_Days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Work_Summary!$A$2:$A$4</c:f>
              <c:strCache>
                <c:ptCount val="2"/>
                <c:pt idx="0">
                  <c:v>Admin</c:v>
                </c:pt>
                <c:pt idx="1">
                  <c:v>Education</c:v>
                </c:pt>
              </c:strCache>
            </c:strRef>
          </c:cat>
          <c:val>
            <c:numRef>
              <c:f>Work_Summary!$B$2:$B$4</c:f>
              <c:numCache>
                <c:formatCode>0</c:formatCode>
                <c:ptCount val="2"/>
                <c:pt idx="0">
                  <c:v>2955</c:v>
                </c:pt>
                <c:pt idx="1">
                  <c:v>2851</c:v>
                </c:pt>
              </c:numCache>
            </c:numRef>
          </c:val>
          <c:extLst>
            <c:ext xmlns:c16="http://schemas.microsoft.com/office/drawing/2014/chart" uri="{C3380CC4-5D6E-409C-BE32-E72D297353CC}">
              <c16:uniqueId val="{00000000-9F65-4BBA-AC7A-6186D5E1F152}"/>
            </c:ext>
          </c:extLst>
        </c:ser>
        <c:ser>
          <c:idx val="1"/>
          <c:order val="1"/>
          <c:tx>
            <c:strRef>
              <c:f>Work_Summary!$C$1</c:f>
              <c:strCache>
                <c:ptCount val="1"/>
                <c:pt idx="0">
                  <c:v>Sum of Duration_Years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Work_Summary!$A$2:$A$4</c:f>
              <c:strCache>
                <c:ptCount val="2"/>
                <c:pt idx="0">
                  <c:v>Admin</c:v>
                </c:pt>
                <c:pt idx="1">
                  <c:v>Education</c:v>
                </c:pt>
              </c:strCache>
            </c:strRef>
          </c:cat>
          <c:val>
            <c:numRef>
              <c:f>Work_Summary!$C$2:$C$4</c:f>
              <c:numCache>
                <c:formatCode>0.0</c:formatCode>
                <c:ptCount val="2"/>
                <c:pt idx="0">
                  <c:v>8.0958904109589049</c:v>
                </c:pt>
                <c:pt idx="1">
                  <c:v>7.8109589041095893</c:v>
                </c:pt>
              </c:numCache>
            </c:numRef>
          </c:val>
          <c:extLst>
            <c:ext xmlns:c16="http://schemas.microsoft.com/office/drawing/2014/chart" uri="{C3380CC4-5D6E-409C-BE32-E72D297353CC}">
              <c16:uniqueId val="{00000002-9F65-4BBA-AC7A-6186D5E1F152}"/>
            </c:ext>
          </c:extLst>
        </c:ser>
        <c:dLbls>
          <c:dLblPos val="outEnd"/>
          <c:showLegendKey val="0"/>
          <c:showVal val="1"/>
          <c:showCatName val="0"/>
          <c:showSerName val="0"/>
          <c:showPercent val="0"/>
          <c:showBubbleSize val="0"/>
        </c:dLbls>
        <c:gapWidth val="219"/>
        <c:overlap val="-27"/>
        <c:axId val="1142942688"/>
        <c:axId val="1142944128"/>
      </c:barChart>
      <c:catAx>
        <c:axId val="11429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44128"/>
        <c:crosses val="autoZero"/>
        <c:auto val="1"/>
        <c:lblAlgn val="ctr"/>
        <c:lblOffset val="100"/>
        <c:noMultiLvlLbl val="0"/>
      </c:catAx>
      <c:valAx>
        <c:axId val="1142944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9</xdr:row>
      <xdr:rowOff>12700</xdr:rowOff>
    </xdr:from>
    <xdr:to>
      <xdr:col>8</xdr:col>
      <xdr:colOff>603250</xdr:colOff>
      <xdr:row>16</xdr:row>
      <xdr:rowOff>177800</xdr:rowOff>
    </xdr:to>
    <xdr:graphicFrame macro="">
      <xdr:nvGraphicFramePr>
        <xdr:cNvPr id="2" name="Chart 1">
          <a:extLst>
            <a:ext uri="{FF2B5EF4-FFF2-40B4-BE49-F238E27FC236}">
              <a16:creationId xmlns:a16="http://schemas.microsoft.com/office/drawing/2014/main" id="{874F2455-248A-4360-9CC7-CFB4B268E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5</xdr:row>
      <xdr:rowOff>44450</xdr:rowOff>
    </xdr:from>
    <xdr:to>
      <xdr:col>4</xdr:col>
      <xdr:colOff>0</xdr:colOff>
      <xdr:row>17</xdr:row>
      <xdr:rowOff>165100</xdr:rowOff>
    </xdr:to>
    <xdr:graphicFrame macro="">
      <xdr:nvGraphicFramePr>
        <xdr:cNvPr id="2" name="Chart 1">
          <a:extLst>
            <a:ext uri="{FF2B5EF4-FFF2-40B4-BE49-F238E27FC236}">
              <a16:creationId xmlns:a16="http://schemas.microsoft.com/office/drawing/2014/main" id="{857181AD-48FB-2451-823D-9E888133B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12700</xdr:colOff>
      <xdr:row>5</xdr:row>
      <xdr:rowOff>12700</xdr:rowOff>
    </xdr:from>
    <xdr:to>
      <xdr:col>8</xdr:col>
      <xdr:colOff>12700</xdr:colOff>
      <xdr:row>18</xdr:row>
      <xdr:rowOff>142875</xdr:rowOff>
    </xdr:to>
    <mc:AlternateContent xmlns:mc="http://schemas.openxmlformats.org/markup-compatibility/2006">
      <mc:Choice xmlns:a14="http://schemas.microsoft.com/office/drawing/2010/main" Requires="a14">
        <xdr:graphicFrame macro="">
          <xdr:nvGraphicFramePr>
            <xdr:cNvPr id="3" name="Role_Category">
              <a:extLst>
                <a:ext uri="{FF2B5EF4-FFF2-40B4-BE49-F238E27FC236}">
                  <a16:creationId xmlns:a16="http://schemas.microsoft.com/office/drawing/2014/main" id="{1F3973AC-F3E1-7F46-892F-B663E746A7E5}"/>
                </a:ext>
              </a:extLst>
            </xdr:cNvPr>
            <xdr:cNvGraphicFramePr/>
          </xdr:nvGraphicFramePr>
          <xdr:xfrm>
            <a:off x="0" y="0"/>
            <a:ext cx="0" cy="0"/>
          </xdr:xfrm>
          <a:graphic>
            <a:graphicData uri="http://schemas.microsoft.com/office/drawing/2010/slicer">
              <sle:slicer xmlns:sle="http://schemas.microsoft.com/office/drawing/2010/slicer" name="Role_Category"/>
            </a:graphicData>
          </a:graphic>
        </xdr:graphicFrame>
      </mc:Choice>
      <mc:Fallback>
        <xdr:sp macro="" textlink="">
          <xdr:nvSpPr>
            <xdr:cNvPr id="0" name=""/>
            <xdr:cNvSpPr>
              <a:spLocks noTextEdit="1"/>
            </xdr:cNvSpPr>
          </xdr:nvSpPr>
          <xdr:spPr>
            <a:xfrm>
              <a:off x="4889500" y="9334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ork_History_Data.xlsx" TargetMode="External"/><Relationship Id="rId2" Type="http://schemas.openxmlformats.org/officeDocument/2006/relationships/externalLinkPath" Target="file:///C:\Users\trama\Documents\Excel%20Portfolio\README%20Notes.txt\Work_History_Data.xlsx" TargetMode="External"/><Relationship Id="rId1" Type="http://schemas.openxmlformats.org/officeDocument/2006/relationships/externalLinkPath" Target="/Users/trama/Documents/Excel%20Portfolio/README%20Notes.txt/Work_History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ducation_Roles"/>
      <sheetName val="Summary"/>
      <sheetName val="Pivot_Country_Role_Breakdown"/>
      <sheetName val="Education_Roles (2)"/>
      <sheetName val="Excel_Demo_Work"/>
      <sheetName val="Work_History_Data"/>
    </sheetNames>
    <sheetDataSet>
      <sheetData sheetId="0"/>
      <sheetData sheetId="1" refreshError="1"/>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rama/Documents/Excel%20Portfolio/README%20Notes.txt/Work_History_Dat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maine Stovell" refreshedDate="46075.685714004627" createdVersion="8" refreshedVersion="8" minRefreshableVersion="3" recordCount="39" xr:uid="{75A74FE6-5EB1-4E4E-B42E-EB3553D723AA}">
  <cacheSource type="worksheet">
    <worksheetSource name="education_roles" r:id="rId2"/>
  </cacheSource>
  <cacheFields count="9">
    <cacheField name="School_Name" numFmtId="0">
      <sharedItems/>
    </cacheField>
    <cacheField name="Role" numFmtId="0">
      <sharedItems count="2">
        <s v="Teacher"/>
        <s v="Teaching Assistant"/>
      </sharedItems>
    </cacheField>
    <cacheField name="City" numFmtId="0">
      <sharedItems/>
    </cacheField>
    <cacheField name="Country" numFmtId="0">
      <sharedItems count="2">
        <s v="Honduras"/>
        <s v="England"/>
      </sharedItems>
    </cacheField>
    <cacheField name="Start_Date" numFmtId="165">
      <sharedItems containsSemiMixedTypes="0" containsNonDate="0" containsDate="1" containsString="0" minDate="2013-08-20T00:00:00" maxDate="2025-02-11T00:00:00"/>
    </cacheField>
    <cacheField name="End_Date" numFmtId="165">
      <sharedItems containsSemiMixedTypes="0" containsNonDate="0" containsDate="1" containsString="0" minDate="2018-12-16T00:00:00" maxDate="2026-02-14T00:00:00"/>
    </cacheField>
    <cacheField name="Duration_Months_Days" numFmtId="1">
      <sharedItems/>
    </cacheField>
    <cacheField name="Duration_Days" numFmtId="1">
      <sharedItems containsSemiMixedTypes="0" containsString="0" containsNumber="1" containsInteger="1" minValue="0" maxValue="1944"/>
    </cacheField>
    <cacheField name="Duration_Weeks" numFmtId="166">
      <sharedItems containsSemiMixedTypes="0" containsString="0" containsNumber="1" minValue="0" maxValue="277.714285714285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maine Stovell" refreshedDate="46102.86612233796" createdVersion="8" refreshedVersion="8" minRefreshableVersion="3" recordCount="39" xr:uid="{ADB4FBE3-08EA-4785-815B-927A8B47BDE2}">
  <cacheSource type="worksheet">
    <worksheetSource name="education_roles"/>
  </cacheSource>
  <cacheFields count="9">
    <cacheField name="School_Name" numFmtId="0">
      <sharedItems count="24">
        <s v="School_A (Primary)"/>
        <s v="School_B (Secondary)"/>
        <s v="School_C (Secondary)"/>
        <s v="School_D (Secondary)"/>
        <s v="School_E (Secondary)"/>
        <s v="School_F (Nursery)"/>
        <s v="School_G (Primary)"/>
        <s v="School_H (Primary)"/>
        <s v="School_I (Primary)"/>
        <s v="School_J (Primary)"/>
        <s v="School_K (Nursery)"/>
        <s v="School_L (Primary)"/>
        <s v="School_M (Nursery)"/>
        <s v="School_N (Nursery)"/>
        <s v="School_O (Nursery)"/>
        <s v="School_P (Primary)"/>
        <s v="School_Q (Secondary) "/>
        <s v="School_R (Primary)"/>
        <s v="School_S (Primary)"/>
        <s v="School_T (Primary)"/>
        <s v="School_U (Nursery)"/>
        <s v="School_V (Secondary)"/>
        <s v="School_W (Primary)"/>
        <s v="School_X (Primary)"/>
      </sharedItems>
    </cacheField>
    <cacheField name="Role" numFmtId="0">
      <sharedItems/>
    </cacheField>
    <cacheField name="City" numFmtId="0">
      <sharedItems/>
    </cacheField>
    <cacheField name="Country" numFmtId="0">
      <sharedItems/>
    </cacheField>
    <cacheField name="Start_Date" numFmtId="165">
      <sharedItems containsSemiMixedTypes="0" containsNonDate="0" containsDate="1" containsString="0" minDate="2013-08-20T00:00:00" maxDate="2025-02-11T00:00:00"/>
    </cacheField>
    <cacheField name="End_Date" numFmtId="165">
      <sharedItems containsSemiMixedTypes="0" containsNonDate="0" containsDate="1" containsString="0" minDate="2018-12-16T00:00:00" maxDate="2026-02-14T00:00:00"/>
    </cacheField>
    <cacheField name="Duration_Months_Days" numFmtId="1">
      <sharedItems/>
    </cacheField>
    <cacheField name="Duration_Days" numFmtId="1">
      <sharedItems containsSemiMixedTypes="0" containsString="0" containsNumber="1" containsInteger="1" minValue="0" maxValue="1944"/>
    </cacheField>
    <cacheField name="Duration_Weeks" numFmtId="166">
      <sharedItems containsSemiMixedTypes="0" containsString="0" containsNumber="1" minValue="0" maxValue="277.7142857142857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maine Stovell" refreshedDate="46122.529668055555" createdVersion="8" refreshedVersion="8" minRefreshableVersion="3" recordCount="45" xr:uid="{8186A3C0-F6CA-4961-BC7E-45605475D745}">
  <cacheSource type="worksheet">
    <worksheetSource name="WorkHistory"/>
  </cacheSource>
  <cacheFields count="12">
    <cacheField name="Organisation" numFmtId="0">
      <sharedItems/>
    </cacheField>
    <cacheField name="Role" numFmtId="0">
      <sharedItems/>
    </cacheField>
    <cacheField name="Role_Category" numFmtId="0">
      <sharedItems count="2">
        <s v="Education"/>
        <s v="Admin"/>
      </sharedItems>
    </cacheField>
    <cacheField name="City" numFmtId="0">
      <sharedItems/>
    </cacheField>
    <cacheField name="Country" numFmtId="0">
      <sharedItems/>
    </cacheField>
    <cacheField name="Start_Date" numFmtId="165">
      <sharedItems containsSemiMixedTypes="0" containsNonDate="0" containsDate="1" containsString="0" minDate="2005-06-12T00:00:00" maxDate="2025-02-11T00:00:00"/>
    </cacheField>
    <cacheField name="End_Date" numFmtId="165">
      <sharedItems containsSemiMixedTypes="0" containsNonDate="0" containsDate="1" containsString="0" minDate="2006-07-20T00:00:00" maxDate="2026-02-14T00:00:00"/>
    </cacheField>
    <cacheField name="Duration_Months_Days" numFmtId="1">
      <sharedItems/>
    </cacheField>
    <cacheField name="Duration_Days" numFmtId="1">
      <sharedItems containsSemiMixedTypes="0" containsString="0" containsNumber="1" containsInteger="1" minValue="0" maxValue="1944"/>
    </cacheField>
    <cacheField name="Duration_Weeks" numFmtId="166">
      <sharedItems containsSemiMixedTypes="0" containsString="0" containsNumber="1" minValue="0" maxValue="277.71428571428572"/>
    </cacheField>
    <cacheField name="Year_Started" numFmtId="0">
      <sharedItems containsSemiMixedTypes="0" containsString="0" containsNumber="1" containsInteger="1" minValue="2005" maxValue="2025"/>
    </cacheField>
    <cacheField name="Duration_Years" numFmtId="0" formula="Duration_Days/365" databaseField="0"/>
  </cacheFields>
  <extLst>
    <ext xmlns:x14="http://schemas.microsoft.com/office/spreadsheetml/2009/9/main" uri="{725AE2AE-9491-48be-B2B4-4EB974FC3084}">
      <x14:pivotCacheDefinition pivotCacheId="473108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s v="School_A"/>
    <x v="0"/>
    <s v="City_A"/>
    <x v="0"/>
    <d v="2013-08-20T00:00:00"/>
    <d v="2018-12-16T00:00:00"/>
    <s v="63 months, 26 days"/>
    <n v="1944"/>
    <n v="277.71428571428572"/>
  </r>
  <r>
    <s v="School_B"/>
    <x v="1"/>
    <s v="City_B"/>
    <x v="1"/>
    <d v="2021-09-13T00:00:00"/>
    <d v="2021-11-19T00:00:00"/>
    <s v="2 months, 6 days"/>
    <n v="67"/>
    <n v="9.5714285714285712"/>
  </r>
  <r>
    <s v="School_C"/>
    <x v="1"/>
    <s v="City_C"/>
    <x v="1"/>
    <d v="2021-11-22T00:00:00"/>
    <d v="2022-01-28T00:00:00"/>
    <s v="2 months, 6 days"/>
    <n v="67"/>
    <n v="9.5714285714285712"/>
  </r>
  <r>
    <s v="School_D"/>
    <x v="1"/>
    <s v="City_D"/>
    <x v="1"/>
    <d v="2022-02-01T00:00:00"/>
    <d v="2022-02-08T00:00:00"/>
    <s v="0 months, 7 days"/>
    <n v="7"/>
    <n v="1"/>
  </r>
  <r>
    <s v="School_E"/>
    <x v="1"/>
    <s v="City_E"/>
    <x v="1"/>
    <d v="2022-02-21T00:00:00"/>
    <d v="2022-02-25T00:00:00"/>
    <s v="0 months, 4 days"/>
    <n v="4"/>
    <n v="0.5714285714285714"/>
  </r>
  <r>
    <s v="School_F"/>
    <x v="1"/>
    <s v="City_F"/>
    <x v="1"/>
    <d v="2022-02-28T00:00:00"/>
    <d v="2022-02-28T00:00:00"/>
    <s v="0 months, 0 days"/>
    <n v="0"/>
    <n v="0"/>
  </r>
  <r>
    <s v="School_G"/>
    <x v="1"/>
    <s v="City_G"/>
    <x v="1"/>
    <d v="2022-03-01T00:00:00"/>
    <d v="2022-03-04T00:00:00"/>
    <s v="0 months, 3 days"/>
    <n v="3"/>
    <n v="0.42857142857142855"/>
  </r>
  <r>
    <s v="School_H"/>
    <x v="1"/>
    <s v="City_D"/>
    <x v="1"/>
    <d v="2022-03-07T00:00:00"/>
    <d v="2022-03-11T00:00:00"/>
    <s v="0 months, 4 days"/>
    <n v="4"/>
    <n v="0.5714285714285714"/>
  </r>
  <r>
    <s v="School_G"/>
    <x v="1"/>
    <s v="City_G"/>
    <x v="1"/>
    <d v="2022-03-14T00:00:00"/>
    <d v="2022-03-24T00:00:00"/>
    <s v="0 months, 10 days"/>
    <n v="10"/>
    <n v="1.4285714285714286"/>
  </r>
  <r>
    <s v="School_I"/>
    <x v="1"/>
    <s v="City_H"/>
    <x v="1"/>
    <d v="2022-03-28T00:00:00"/>
    <d v="2022-04-08T00:00:00"/>
    <s v="0 months, 11 days"/>
    <n v="11"/>
    <n v="1.5714285714285714"/>
  </r>
  <r>
    <s v="School_J"/>
    <x v="1"/>
    <s v="City_E"/>
    <x v="1"/>
    <d v="2022-04-25T00:00:00"/>
    <d v="2022-04-29T00:00:00"/>
    <s v="0 months, 4 days"/>
    <n v="4"/>
    <n v="0.5714285714285714"/>
  </r>
  <r>
    <s v="School_K"/>
    <x v="1"/>
    <s v="City_E"/>
    <x v="1"/>
    <d v="2022-05-03T00:00:00"/>
    <d v="2022-05-04T00:00:00"/>
    <s v="0 months, 1 days"/>
    <n v="1"/>
    <n v="0.14285714285714285"/>
  </r>
  <r>
    <s v="School_L"/>
    <x v="1"/>
    <s v="City_C"/>
    <x v="1"/>
    <d v="2022-05-04T00:00:00"/>
    <d v="2022-05-06T00:00:00"/>
    <s v="0 months, 2 days"/>
    <n v="2"/>
    <n v="0.2857142857142857"/>
  </r>
  <r>
    <s v="School_M"/>
    <x v="1"/>
    <s v="City_E"/>
    <x v="1"/>
    <d v="2022-05-09T00:00:00"/>
    <d v="2022-05-10T00:00:00"/>
    <s v="0 months, 1 days"/>
    <n v="1"/>
    <n v="0.14285714285714285"/>
  </r>
  <r>
    <s v="School_N"/>
    <x v="1"/>
    <s v="City_I"/>
    <x v="1"/>
    <d v="2022-05-10T00:00:00"/>
    <d v="2022-05-11T00:00:00"/>
    <s v="0 months, 1 days"/>
    <n v="1"/>
    <n v="0.14285714285714285"/>
  </r>
  <r>
    <s v="School_O "/>
    <x v="1"/>
    <s v="City_G"/>
    <x v="1"/>
    <d v="2022-05-12T00:00:00"/>
    <d v="2022-05-13T00:00:00"/>
    <s v="0 months, 1 days"/>
    <n v="1"/>
    <n v="0.14285714285714285"/>
  </r>
  <r>
    <s v="School_J"/>
    <x v="1"/>
    <s v="City_E"/>
    <x v="1"/>
    <d v="2022-05-16T00:00:00"/>
    <d v="2022-05-20T00:00:00"/>
    <s v="0 months, 4 days"/>
    <n v="4"/>
    <n v="0.5714285714285714"/>
  </r>
  <r>
    <s v="School_P"/>
    <x v="1"/>
    <s v="City_E"/>
    <x v="1"/>
    <d v="2022-05-23T00:00:00"/>
    <d v="2022-05-24T00:00:00"/>
    <s v="0 months, 1 days"/>
    <n v="1"/>
    <n v="0.14285714285714285"/>
  </r>
  <r>
    <s v="School_J"/>
    <x v="1"/>
    <s v="City_E"/>
    <x v="1"/>
    <d v="2022-05-24T00:00:00"/>
    <d v="2022-05-27T00:00:00"/>
    <s v="0 months, 3 days"/>
    <n v="3"/>
    <n v="0.42857142857142855"/>
  </r>
  <r>
    <s v="School_J"/>
    <x v="1"/>
    <s v="City_E"/>
    <x v="1"/>
    <d v="2022-06-13T00:00:00"/>
    <d v="2022-06-17T00:00:00"/>
    <s v="0 months, 4 days"/>
    <n v="4"/>
    <n v="0.5714285714285714"/>
  </r>
  <r>
    <s v="School_Q"/>
    <x v="1"/>
    <s v="City_E"/>
    <x v="1"/>
    <d v="2022-06-20T00:00:00"/>
    <d v="2022-06-21T00:00:00"/>
    <s v="0 months, 1 days"/>
    <n v="1"/>
    <n v="0.14285714285714285"/>
  </r>
  <r>
    <s v="School_O "/>
    <x v="1"/>
    <s v="City_G"/>
    <x v="1"/>
    <d v="2022-06-21T00:00:00"/>
    <d v="2022-06-22T00:00:00"/>
    <s v="0 months, 1 days"/>
    <n v="1"/>
    <n v="0.14285714285714285"/>
  </r>
  <r>
    <s v="School_O "/>
    <x v="1"/>
    <s v="City_G"/>
    <x v="1"/>
    <d v="2022-06-23T00:00:00"/>
    <d v="2022-06-24T00:00:00"/>
    <s v="0 months, 1 days"/>
    <n v="1"/>
    <n v="0.14285714285714285"/>
  </r>
  <r>
    <s v="School_R"/>
    <x v="1"/>
    <s v="City_F"/>
    <x v="1"/>
    <d v="2022-06-27T00:00:00"/>
    <d v="2022-07-01T00:00:00"/>
    <s v="0 months, 4 days"/>
    <n v="4"/>
    <n v="0.5714285714285714"/>
  </r>
  <r>
    <s v="School_S"/>
    <x v="1"/>
    <s v="City_F"/>
    <x v="1"/>
    <d v="2022-07-04T00:00:00"/>
    <d v="2022-07-05T00:00:00"/>
    <s v="0 months, 1 days"/>
    <n v="1"/>
    <n v="0.14285714285714285"/>
  </r>
  <r>
    <s v="School_T"/>
    <x v="1"/>
    <s v="City_F"/>
    <x v="1"/>
    <d v="2022-07-06T00:00:00"/>
    <d v="2022-07-07T00:00:00"/>
    <s v="0 months, 1 days"/>
    <n v="1"/>
    <n v="0.14285714285714285"/>
  </r>
  <r>
    <s v="School_J"/>
    <x v="1"/>
    <s v="City_E"/>
    <x v="1"/>
    <d v="2022-07-08T00:00:00"/>
    <d v="2022-07-09T00:00:00"/>
    <s v="0 months, 1 days"/>
    <n v="1"/>
    <n v="0.14285714285714285"/>
  </r>
  <r>
    <s v="School_T"/>
    <x v="1"/>
    <s v="City_F"/>
    <x v="1"/>
    <d v="2022-07-11T00:00:00"/>
    <d v="2022-07-12T00:00:00"/>
    <s v="0 months, 1 days"/>
    <n v="1"/>
    <n v="0.14285714285714285"/>
  </r>
  <r>
    <s v="School_I"/>
    <x v="1"/>
    <s v="City_H"/>
    <x v="1"/>
    <d v="2022-07-13T00:00:00"/>
    <d v="2022-07-14T00:00:00"/>
    <s v="0 months, 1 days"/>
    <n v="1"/>
    <n v="0.14285714285714285"/>
  </r>
  <r>
    <s v="School_U "/>
    <x v="1"/>
    <s v="City_F"/>
    <x v="1"/>
    <d v="2022-07-14T00:00:00"/>
    <d v="2022-07-15T00:00:00"/>
    <s v="0 months, 1 days"/>
    <n v="1"/>
    <n v="0.14285714285714285"/>
  </r>
  <r>
    <s v="School_O "/>
    <x v="1"/>
    <s v="City_G"/>
    <x v="1"/>
    <d v="2022-07-25T00:00:00"/>
    <d v="2022-07-29T00:00:00"/>
    <s v="0 months, 4 days"/>
    <n v="4"/>
    <n v="0.5714285714285714"/>
  </r>
  <r>
    <s v="School_O "/>
    <x v="1"/>
    <s v="City_G"/>
    <x v="1"/>
    <d v="2022-08-17T00:00:00"/>
    <d v="2022-08-18T00:00:00"/>
    <s v="0 months, 1 days"/>
    <n v="1"/>
    <n v="0.14285714285714285"/>
  </r>
  <r>
    <s v="School_O "/>
    <x v="1"/>
    <s v="City_G"/>
    <x v="1"/>
    <d v="2022-08-22T00:00:00"/>
    <d v="2022-08-25T00:00:00"/>
    <s v="0 months, 3 days"/>
    <n v="3"/>
    <n v="0.42857142857142855"/>
  </r>
  <r>
    <s v="School_O "/>
    <x v="1"/>
    <s v="City_G"/>
    <x v="1"/>
    <d v="2022-08-31T00:00:00"/>
    <d v="2022-09-02T00:00:00"/>
    <s v="0 months, 2 days"/>
    <n v="2"/>
    <n v="0.2857142857142857"/>
  </r>
  <r>
    <s v="School_V"/>
    <x v="1"/>
    <s v="City_C"/>
    <x v="1"/>
    <d v="2022-09-14T00:00:00"/>
    <d v="2022-09-15T00:00:00"/>
    <s v="0 months, 1 days"/>
    <n v="1"/>
    <n v="0.14285714285714285"/>
  </r>
  <r>
    <s v="School_O "/>
    <x v="1"/>
    <s v="City_G"/>
    <x v="1"/>
    <d v="2022-09-15T00:00:00"/>
    <d v="2022-09-16T00:00:00"/>
    <s v="0 months, 1 days"/>
    <n v="1"/>
    <n v="0.14285714285714285"/>
  </r>
  <r>
    <s v="School_H"/>
    <x v="1"/>
    <s v="City_D"/>
    <x v="1"/>
    <d v="2024-02-27T00:00:00"/>
    <d v="2024-03-14T00:00:00"/>
    <s v="0 months, 16 days"/>
    <n v="16"/>
    <n v="2.2857142857142856"/>
  </r>
  <r>
    <s v="School_W"/>
    <x v="1"/>
    <s v="City_J"/>
    <x v="1"/>
    <d v="2024-10-28T00:00:00"/>
    <d v="2025-02-07T00:00:00"/>
    <s v="3 months, 10 days"/>
    <n v="102"/>
    <n v="14.571428571428571"/>
  </r>
  <r>
    <s v="School_X"/>
    <x v="1"/>
    <s v="City_D"/>
    <x v="1"/>
    <d v="2025-02-10T00:00:00"/>
    <d v="2026-02-13T00:00:00"/>
    <s v="12 months, 3 days"/>
    <n v="368"/>
    <n v="52.5714285714285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s v="Teacher"/>
    <s v="City_A"/>
    <s v="Honduras"/>
    <d v="2013-08-20T00:00:00"/>
    <d v="2018-12-16T00:00:00"/>
    <s v="63 months, 26 days"/>
    <n v="1944"/>
    <n v="277.71428571428572"/>
  </r>
  <r>
    <x v="1"/>
    <s v="Teaching Assistant"/>
    <s v="City_B"/>
    <s v="England"/>
    <d v="2021-09-13T00:00:00"/>
    <d v="2021-11-19T00:00:00"/>
    <s v="2 months, 6 days"/>
    <n v="67"/>
    <n v="9.5714285714285712"/>
  </r>
  <r>
    <x v="2"/>
    <s v="Teaching Assistant"/>
    <s v="City_C"/>
    <s v="England"/>
    <d v="2021-11-22T00:00:00"/>
    <d v="2022-01-28T00:00:00"/>
    <s v="2 months, 6 days"/>
    <n v="67"/>
    <n v="9.5714285714285712"/>
  </r>
  <r>
    <x v="3"/>
    <s v="Teaching Assistant"/>
    <s v="City_D"/>
    <s v="England"/>
    <d v="2022-02-01T00:00:00"/>
    <d v="2022-02-08T00:00:00"/>
    <s v="0 months, 7 days"/>
    <n v="7"/>
    <n v="1"/>
  </r>
  <r>
    <x v="4"/>
    <s v="Teaching Assistant"/>
    <s v="City_E"/>
    <s v="England"/>
    <d v="2022-02-21T00:00:00"/>
    <d v="2022-02-25T00:00:00"/>
    <s v="0 months, 4 days"/>
    <n v="4"/>
    <n v="0.5714285714285714"/>
  </r>
  <r>
    <x v="5"/>
    <s v="Teaching Assistant"/>
    <s v="City_F"/>
    <s v="England"/>
    <d v="2022-02-28T00:00:00"/>
    <d v="2022-02-28T00:00:00"/>
    <s v="0 months, 0 days"/>
    <n v="0"/>
    <n v="0"/>
  </r>
  <r>
    <x v="6"/>
    <s v="Teaching Assistant"/>
    <s v="City_G"/>
    <s v="England"/>
    <d v="2022-03-01T00:00:00"/>
    <d v="2022-03-04T00:00:00"/>
    <s v="0 months, 3 days"/>
    <n v="3"/>
    <n v="0.42857142857142855"/>
  </r>
  <r>
    <x v="7"/>
    <s v="Teaching Assistant"/>
    <s v="City_D"/>
    <s v="England"/>
    <d v="2022-03-07T00:00:00"/>
    <d v="2022-03-11T00:00:00"/>
    <s v="0 months, 4 days"/>
    <n v="4"/>
    <n v="0.5714285714285714"/>
  </r>
  <r>
    <x v="6"/>
    <s v="Teaching Assistant"/>
    <s v="City_G"/>
    <s v="England"/>
    <d v="2022-03-14T00:00:00"/>
    <d v="2022-03-24T00:00:00"/>
    <s v="0 months, 10 days"/>
    <n v="10"/>
    <n v="1.4285714285714286"/>
  </r>
  <r>
    <x v="8"/>
    <s v="Teaching Assistant"/>
    <s v="City_H"/>
    <s v="England"/>
    <d v="2022-03-28T00:00:00"/>
    <d v="2022-04-08T00:00:00"/>
    <s v="0 months, 11 days"/>
    <n v="11"/>
    <n v="1.5714285714285714"/>
  </r>
  <r>
    <x v="9"/>
    <s v="Teaching Assistant"/>
    <s v="City_E"/>
    <s v="England"/>
    <d v="2022-04-25T00:00:00"/>
    <d v="2022-04-29T00:00:00"/>
    <s v="0 months, 4 days"/>
    <n v="4"/>
    <n v="0.5714285714285714"/>
  </r>
  <r>
    <x v="10"/>
    <s v="Teaching Assistant"/>
    <s v="City_E"/>
    <s v="England"/>
    <d v="2022-05-03T00:00:00"/>
    <d v="2022-05-04T00:00:00"/>
    <s v="0 months, 1 days"/>
    <n v="1"/>
    <n v="0.14285714285714285"/>
  </r>
  <r>
    <x v="11"/>
    <s v="Teaching Assistant"/>
    <s v="City_C"/>
    <s v="England"/>
    <d v="2022-05-04T00:00:00"/>
    <d v="2022-05-06T00:00:00"/>
    <s v="0 months, 2 days"/>
    <n v="2"/>
    <n v="0.2857142857142857"/>
  </r>
  <r>
    <x v="12"/>
    <s v="Teaching Assistant"/>
    <s v="City_E"/>
    <s v="England"/>
    <d v="2022-05-09T00:00:00"/>
    <d v="2022-05-10T00:00:00"/>
    <s v="0 months, 1 days"/>
    <n v="1"/>
    <n v="0.14285714285714285"/>
  </r>
  <r>
    <x v="13"/>
    <s v="Teaching Assistant"/>
    <s v="City_I"/>
    <s v="England"/>
    <d v="2022-05-10T00:00:00"/>
    <d v="2022-05-11T00:00:00"/>
    <s v="0 months, 1 days"/>
    <n v="1"/>
    <n v="0.14285714285714285"/>
  </r>
  <r>
    <x v="14"/>
    <s v="Teaching Assistant"/>
    <s v="City_G"/>
    <s v="England"/>
    <d v="2022-05-12T00:00:00"/>
    <d v="2022-05-13T00:00:00"/>
    <s v="0 months, 1 days"/>
    <n v="1"/>
    <n v="0.14285714285714285"/>
  </r>
  <r>
    <x v="9"/>
    <s v="Teaching Assistant"/>
    <s v="City_E"/>
    <s v="England"/>
    <d v="2022-05-16T00:00:00"/>
    <d v="2022-05-20T00:00:00"/>
    <s v="0 months, 4 days"/>
    <n v="4"/>
    <n v="0.5714285714285714"/>
  </r>
  <r>
    <x v="15"/>
    <s v="Teaching Assistant"/>
    <s v="City_E"/>
    <s v="England"/>
    <d v="2022-05-23T00:00:00"/>
    <d v="2022-05-24T00:00:00"/>
    <s v="0 months, 1 days"/>
    <n v="1"/>
    <n v="0.14285714285714285"/>
  </r>
  <r>
    <x v="9"/>
    <s v="Teaching Assistant"/>
    <s v="City_E"/>
    <s v="England"/>
    <d v="2022-05-24T00:00:00"/>
    <d v="2022-05-27T00:00:00"/>
    <s v="0 months, 3 days"/>
    <n v="3"/>
    <n v="0.42857142857142855"/>
  </r>
  <r>
    <x v="9"/>
    <s v="Teaching Assistant"/>
    <s v="City_E"/>
    <s v="England"/>
    <d v="2022-06-13T00:00:00"/>
    <d v="2022-06-17T00:00:00"/>
    <s v="0 months, 4 days"/>
    <n v="4"/>
    <n v="0.5714285714285714"/>
  </r>
  <r>
    <x v="16"/>
    <s v="Teaching Assistant"/>
    <s v="City_E"/>
    <s v="England"/>
    <d v="2022-06-20T00:00:00"/>
    <d v="2022-06-21T00:00:00"/>
    <s v="0 months, 1 days"/>
    <n v="1"/>
    <n v="0.14285714285714285"/>
  </r>
  <r>
    <x v="14"/>
    <s v="Teaching Assistant"/>
    <s v="City_G"/>
    <s v="England"/>
    <d v="2022-06-21T00:00:00"/>
    <d v="2022-06-22T00:00:00"/>
    <s v="0 months, 1 days"/>
    <n v="1"/>
    <n v="0.14285714285714285"/>
  </r>
  <r>
    <x v="14"/>
    <s v="Teaching Assistant"/>
    <s v="City_G"/>
    <s v="England"/>
    <d v="2022-06-23T00:00:00"/>
    <d v="2022-06-24T00:00:00"/>
    <s v="0 months, 1 days"/>
    <n v="1"/>
    <n v="0.14285714285714285"/>
  </r>
  <r>
    <x v="17"/>
    <s v="Teaching Assistant"/>
    <s v="City_F"/>
    <s v="England"/>
    <d v="2022-06-27T00:00:00"/>
    <d v="2022-07-01T00:00:00"/>
    <s v="0 months, 4 days"/>
    <n v="4"/>
    <n v="0.5714285714285714"/>
  </r>
  <r>
    <x v="18"/>
    <s v="Teaching Assistant"/>
    <s v="City_F"/>
    <s v="England"/>
    <d v="2022-07-04T00:00:00"/>
    <d v="2022-07-05T00:00:00"/>
    <s v="0 months, 1 days"/>
    <n v="1"/>
    <n v="0.14285714285714285"/>
  </r>
  <r>
    <x v="19"/>
    <s v="Teaching Assistant"/>
    <s v="City_F"/>
    <s v="England"/>
    <d v="2022-07-06T00:00:00"/>
    <d v="2022-07-07T00:00:00"/>
    <s v="0 months, 1 days"/>
    <n v="1"/>
    <n v="0.14285714285714285"/>
  </r>
  <r>
    <x v="9"/>
    <s v="Teaching Assistant"/>
    <s v="City_E"/>
    <s v="England"/>
    <d v="2022-07-08T00:00:00"/>
    <d v="2022-07-09T00:00:00"/>
    <s v="0 months, 1 days"/>
    <n v="1"/>
    <n v="0.14285714285714285"/>
  </r>
  <r>
    <x v="19"/>
    <s v="Teaching Assistant"/>
    <s v="City_F"/>
    <s v="England"/>
    <d v="2022-07-11T00:00:00"/>
    <d v="2022-07-12T00:00:00"/>
    <s v="0 months, 1 days"/>
    <n v="1"/>
    <n v="0.14285714285714285"/>
  </r>
  <r>
    <x v="8"/>
    <s v="Teaching Assistant"/>
    <s v="City_H"/>
    <s v="England"/>
    <d v="2022-07-13T00:00:00"/>
    <d v="2022-07-14T00:00:00"/>
    <s v="0 months, 1 days"/>
    <n v="1"/>
    <n v="0.14285714285714285"/>
  </r>
  <r>
    <x v="20"/>
    <s v="Teaching Assistant"/>
    <s v="City_F"/>
    <s v="England"/>
    <d v="2022-07-14T00:00:00"/>
    <d v="2022-07-15T00:00:00"/>
    <s v="0 months, 1 days"/>
    <n v="1"/>
    <n v="0.14285714285714285"/>
  </r>
  <r>
    <x v="14"/>
    <s v="Teaching Assistant"/>
    <s v="City_G"/>
    <s v="England"/>
    <d v="2022-07-25T00:00:00"/>
    <d v="2022-07-29T00:00:00"/>
    <s v="0 months, 4 days"/>
    <n v="4"/>
    <n v="0.5714285714285714"/>
  </r>
  <r>
    <x v="14"/>
    <s v="Teaching Assistant"/>
    <s v="City_G"/>
    <s v="England"/>
    <d v="2022-08-17T00:00:00"/>
    <d v="2022-08-18T00:00:00"/>
    <s v="0 months, 1 days"/>
    <n v="1"/>
    <n v="0.14285714285714285"/>
  </r>
  <r>
    <x v="14"/>
    <s v="Teaching Assistant"/>
    <s v="City_G"/>
    <s v="England"/>
    <d v="2022-08-22T00:00:00"/>
    <d v="2022-08-25T00:00:00"/>
    <s v="0 months, 3 days"/>
    <n v="3"/>
    <n v="0.42857142857142855"/>
  </r>
  <r>
    <x v="14"/>
    <s v="Teaching Assistant"/>
    <s v="City_G"/>
    <s v="England"/>
    <d v="2022-08-31T00:00:00"/>
    <d v="2022-09-02T00:00:00"/>
    <s v="0 months, 2 days"/>
    <n v="2"/>
    <n v="0.2857142857142857"/>
  </r>
  <r>
    <x v="21"/>
    <s v="Teaching Assistant"/>
    <s v="City_C"/>
    <s v="England"/>
    <d v="2022-09-14T00:00:00"/>
    <d v="2022-09-15T00:00:00"/>
    <s v="0 months, 1 days"/>
    <n v="1"/>
    <n v="0.14285714285714285"/>
  </r>
  <r>
    <x v="14"/>
    <s v="Teaching Assistant"/>
    <s v="City_G"/>
    <s v="England"/>
    <d v="2022-09-15T00:00:00"/>
    <d v="2022-09-16T00:00:00"/>
    <s v="0 months, 1 days"/>
    <n v="1"/>
    <n v="0.14285714285714285"/>
  </r>
  <r>
    <x v="7"/>
    <s v="Teaching Assistant"/>
    <s v="City_D"/>
    <s v="England"/>
    <d v="2024-02-27T00:00:00"/>
    <d v="2024-03-14T00:00:00"/>
    <s v="0 months, 16 days"/>
    <n v="16"/>
    <n v="2.2857142857142856"/>
  </r>
  <r>
    <x v="22"/>
    <s v="Teaching Assistant"/>
    <s v="City_J"/>
    <s v="England"/>
    <d v="2024-10-28T00:00:00"/>
    <d v="2025-02-07T00:00:00"/>
    <s v="3 months, 10 days"/>
    <n v="102"/>
    <n v="14.571428571428571"/>
  </r>
  <r>
    <x v="23"/>
    <s v="Teaching Assistant"/>
    <s v="City_D"/>
    <s v="England"/>
    <d v="2025-02-10T00:00:00"/>
    <d v="2026-02-13T00:00:00"/>
    <s v="12 months, 3 days"/>
    <n v="368"/>
    <n v="52.57142857142856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School_A (Primary)"/>
    <s v="Teacher"/>
    <x v="0"/>
    <s v="City_A"/>
    <s v="Honduras"/>
    <d v="2013-08-20T00:00:00"/>
    <d v="2018-12-16T00:00:00"/>
    <s v="63 months, 26 days"/>
    <n v="1944"/>
    <n v="277.71428571428572"/>
    <n v="2013"/>
  </r>
  <r>
    <s v="School_B (Secondary)"/>
    <s v="Teaching Assistant"/>
    <x v="0"/>
    <s v="City_B"/>
    <s v="England"/>
    <d v="2021-09-13T00:00:00"/>
    <d v="2021-11-19T00:00:00"/>
    <s v="2 months, 6 days"/>
    <n v="67"/>
    <n v="9.5714285714285712"/>
    <n v="2021"/>
  </r>
  <r>
    <s v="School_C (Secondary)"/>
    <s v="Teaching Assistant"/>
    <x v="0"/>
    <s v="City_C"/>
    <s v="England"/>
    <d v="2021-11-22T00:00:00"/>
    <d v="2022-01-28T00:00:00"/>
    <s v="2 months, 6 days"/>
    <n v="67"/>
    <n v="9.5714285714285712"/>
    <n v="2021"/>
  </r>
  <r>
    <s v="School_D (Secondary)"/>
    <s v="Teaching Assistant"/>
    <x v="0"/>
    <s v="City_D"/>
    <s v="England"/>
    <d v="2022-02-01T00:00:00"/>
    <d v="2022-02-08T00:00:00"/>
    <s v="0 months, 7 days"/>
    <n v="7"/>
    <n v="1"/>
    <n v="2022"/>
  </r>
  <r>
    <s v="School_E (Secondary)"/>
    <s v="Teaching Assistant"/>
    <x v="0"/>
    <s v="City_E"/>
    <s v="England"/>
    <d v="2022-02-21T00:00:00"/>
    <d v="2022-02-25T00:00:00"/>
    <s v="0 months, 4 days"/>
    <n v="4"/>
    <n v="0.5714285714285714"/>
    <n v="2022"/>
  </r>
  <r>
    <s v="School_F (Nursery)"/>
    <s v="Teaching Assistant"/>
    <x v="0"/>
    <s v="City_F"/>
    <s v="England"/>
    <d v="2022-02-28T00:00:00"/>
    <d v="2022-02-28T00:00:00"/>
    <s v="0 months, 0 days"/>
    <n v="0"/>
    <n v="0"/>
    <n v="2022"/>
  </r>
  <r>
    <s v="School_G (Primary)"/>
    <s v="Teaching Assistant"/>
    <x v="0"/>
    <s v="City_G"/>
    <s v="England"/>
    <d v="2022-03-01T00:00:00"/>
    <d v="2022-03-04T00:00:00"/>
    <s v="0 months, 3 days"/>
    <n v="3"/>
    <n v="0.42857142857142855"/>
    <n v="2022"/>
  </r>
  <r>
    <s v="School_H (Primary)"/>
    <s v="Teaching Assistant"/>
    <x v="0"/>
    <s v="City_D"/>
    <s v="England"/>
    <d v="2022-03-07T00:00:00"/>
    <d v="2022-03-11T00:00:00"/>
    <s v="0 months, 4 days"/>
    <n v="4"/>
    <n v="0.5714285714285714"/>
    <n v="2022"/>
  </r>
  <r>
    <s v="School_G (Primary)"/>
    <s v="Teaching Assistant"/>
    <x v="0"/>
    <s v="City_G"/>
    <s v="England"/>
    <d v="2022-03-14T00:00:00"/>
    <d v="2022-03-24T00:00:00"/>
    <s v="0 months, 10 days"/>
    <n v="10"/>
    <n v="1.4285714285714286"/>
    <n v="2022"/>
  </r>
  <r>
    <s v="School_I (Primary)"/>
    <s v="Teaching Assistant"/>
    <x v="0"/>
    <s v="City_H"/>
    <s v="England"/>
    <d v="2022-03-28T00:00:00"/>
    <d v="2022-04-08T00:00:00"/>
    <s v="0 months, 11 days"/>
    <n v="11"/>
    <n v="1.5714285714285714"/>
    <n v="2022"/>
  </r>
  <r>
    <s v="School_J (Primary)"/>
    <s v="Teaching Assistant"/>
    <x v="0"/>
    <s v="City_E"/>
    <s v="England"/>
    <d v="2022-04-25T00:00:00"/>
    <d v="2022-04-29T00:00:00"/>
    <s v="0 months, 4 days"/>
    <n v="4"/>
    <n v="0.5714285714285714"/>
    <n v="2022"/>
  </r>
  <r>
    <s v="School_K (Nursery)"/>
    <s v="Teaching Assistant"/>
    <x v="0"/>
    <s v="City_E"/>
    <s v="England"/>
    <d v="2022-05-03T00:00:00"/>
    <d v="2022-05-04T00:00:00"/>
    <s v="0 months, 1 days"/>
    <n v="1"/>
    <n v="0.14285714285714285"/>
    <n v="2022"/>
  </r>
  <r>
    <s v="School_L (Primary)"/>
    <s v="Teaching Assistant"/>
    <x v="0"/>
    <s v="City_C"/>
    <s v="England"/>
    <d v="2022-05-04T00:00:00"/>
    <d v="2022-05-06T00:00:00"/>
    <s v="0 months, 2 days"/>
    <n v="2"/>
    <n v="0.2857142857142857"/>
    <n v="2022"/>
  </r>
  <r>
    <s v="School_M (Nursery)"/>
    <s v="Teaching Assistant"/>
    <x v="0"/>
    <s v="City_E"/>
    <s v="England"/>
    <d v="2022-05-09T00:00:00"/>
    <d v="2022-05-10T00:00:00"/>
    <s v="0 months, 1 days"/>
    <n v="1"/>
    <n v="0.14285714285714285"/>
    <n v="2022"/>
  </r>
  <r>
    <s v="School_N (Nursery)"/>
    <s v="Teaching Assistant"/>
    <x v="0"/>
    <s v="City_I"/>
    <s v="England"/>
    <d v="2022-05-10T00:00:00"/>
    <d v="2022-05-11T00:00:00"/>
    <s v="0 months, 1 days"/>
    <n v="1"/>
    <n v="0.14285714285714285"/>
    <n v="2022"/>
  </r>
  <r>
    <s v="School_O (Nursery)"/>
    <s v="Teaching Assistant"/>
    <x v="0"/>
    <s v="City_G"/>
    <s v="England"/>
    <d v="2022-05-12T00:00:00"/>
    <d v="2022-05-13T00:00:00"/>
    <s v="0 months, 1 days"/>
    <n v="1"/>
    <n v="0.14285714285714285"/>
    <n v="2022"/>
  </r>
  <r>
    <s v="School_J (Primary)"/>
    <s v="Teaching Assistant"/>
    <x v="0"/>
    <s v="City_E"/>
    <s v="England"/>
    <d v="2022-05-16T00:00:00"/>
    <d v="2022-05-20T00:00:00"/>
    <s v="0 months, 4 days"/>
    <n v="4"/>
    <n v="0.5714285714285714"/>
    <n v="2022"/>
  </r>
  <r>
    <s v="School_P (Primary)"/>
    <s v="Teaching Assistant"/>
    <x v="0"/>
    <s v="City_E"/>
    <s v="England"/>
    <d v="2022-05-23T00:00:00"/>
    <d v="2022-05-24T00:00:00"/>
    <s v="0 months, 1 days"/>
    <n v="1"/>
    <n v="0.14285714285714285"/>
    <n v="2022"/>
  </r>
  <r>
    <s v="School_J (Primary)"/>
    <s v="Teaching Assistant"/>
    <x v="0"/>
    <s v="City_E"/>
    <s v="England"/>
    <d v="2022-05-24T00:00:00"/>
    <d v="2022-05-27T00:00:00"/>
    <s v="0 months, 3 days"/>
    <n v="3"/>
    <n v="0.42857142857142855"/>
    <n v="2022"/>
  </r>
  <r>
    <s v="School_J (Primary)"/>
    <s v="Teaching Assistant"/>
    <x v="0"/>
    <s v="City_E"/>
    <s v="England"/>
    <d v="2022-06-13T00:00:00"/>
    <d v="2022-06-17T00:00:00"/>
    <s v="0 months, 4 days"/>
    <n v="4"/>
    <n v="0.5714285714285714"/>
    <n v="2022"/>
  </r>
  <r>
    <s v="School_Q (Secondary) "/>
    <s v="Teaching Assistant"/>
    <x v="0"/>
    <s v="City_E"/>
    <s v="England"/>
    <d v="2022-06-20T00:00:00"/>
    <d v="2022-06-21T00:00:00"/>
    <s v="0 months, 1 days"/>
    <n v="1"/>
    <n v="0.14285714285714285"/>
    <n v="2022"/>
  </r>
  <r>
    <s v="School_O (Nursery)"/>
    <s v="Teaching Assistant"/>
    <x v="0"/>
    <s v="City_G"/>
    <s v="England"/>
    <d v="2022-06-21T00:00:00"/>
    <d v="2022-06-22T00:00:00"/>
    <s v="0 months, 1 days"/>
    <n v="1"/>
    <n v="0.14285714285714285"/>
    <n v="2022"/>
  </r>
  <r>
    <s v="School_O (Nursery)"/>
    <s v="Teaching Assistant"/>
    <x v="0"/>
    <s v="City_G"/>
    <s v="England"/>
    <d v="2022-06-23T00:00:00"/>
    <d v="2022-06-24T00:00:00"/>
    <s v="0 months, 1 days"/>
    <n v="1"/>
    <n v="0.14285714285714285"/>
    <n v="2022"/>
  </r>
  <r>
    <s v="School_R (Primary)"/>
    <s v="Teaching Assistant"/>
    <x v="0"/>
    <s v="City_F"/>
    <s v="England"/>
    <d v="2022-06-27T00:00:00"/>
    <d v="2022-07-01T00:00:00"/>
    <s v="0 months, 4 days"/>
    <n v="4"/>
    <n v="0.5714285714285714"/>
    <n v="2022"/>
  </r>
  <r>
    <s v="School_S (Primary)"/>
    <s v="Teaching Assistant"/>
    <x v="0"/>
    <s v="City_F"/>
    <s v="England"/>
    <d v="2022-07-04T00:00:00"/>
    <d v="2022-07-05T00:00:00"/>
    <s v="0 months, 1 days"/>
    <n v="1"/>
    <n v="0.14285714285714285"/>
    <n v="2022"/>
  </r>
  <r>
    <s v="School_T (Primary)"/>
    <s v="Teaching Assistant"/>
    <x v="0"/>
    <s v="City_F"/>
    <s v="England"/>
    <d v="2022-07-06T00:00:00"/>
    <d v="2022-07-07T00:00:00"/>
    <s v="0 months, 1 days"/>
    <n v="1"/>
    <n v="0.14285714285714285"/>
    <n v="2022"/>
  </r>
  <r>
    <s v="School_J (Primary)"/>
    <s v="Teaching Assistant"/>
    <x v="0"/>
    <s v="City_E"/>
    <s v="England"/>
    <d v="2022-07-08T00:00:00"/>
    <d v="2022-07-09T00:00:00"/>
    <s v="0 months, 1 days"/>
    <n v="1"/>
    <n v="0.14285714285714285"/>
    <n v="2022"/>
  </r>
  <r>
    <s v="School_T (Primary)"/>
    <s v="Teaching Assistant"/>
    <x v="0"/>
    <s v="City_F"/>
    <s v="England"/>
    <d v="2022-07-11T00:00:00"/>
    <d v="2022-07-12T00:00:00"/>
    <s v="0 months, 1 days"/>
    <n v="1"/>
    <n v="0.14285714285714285"/>
    <n v="2022"/>
  </r>
  <r>
    <s v="School_I (Primary)"/>
    <s v="Teaching Assistant"/>
    <x v="0"/>
    <s v="City_H"/>
    <s v="England"/>
    <d v="2022-07-13T00:00:00"/>
    <d v="2022-07-14T00:00:00"/>
    <s v="0 months, 1 days"/>
    <n v="1"/>
    <n v="0.14285714285714285"/>
    <n v="2022"/>
  </r>
  <r>
    <s v="School_U (Nursery)"/>
    <s v="Teaching Assistant"/>
    <x v="0"/>
    <s v="City_F"/>
    <s v="England"/>
    <d v="2022-07-14T00:00:00"/>
    <d v="2022-07-15T00:00:00"/>
    <s v="0 months, 1 days"/>
    <n v="1"/>
    <n v="0.14285714285714285"/>
    <n v="2022"/>
  </r>
  <r>
    <s v="School_O (Nursery)"/>
    <s v="Teaching Assistant"/>
    <x v="0"/>
    <s v="City_G"/>
    <s v="England"/>
    <d v="2022-07-25T00:00:00"/>
    <d v="2022-07-29T00:00:00"/>
    <s v="0 months, 4 days"/>
    <n v="4"/>
    <n v="0.5714285714285714"/>
    <n v="2022"/>
  </r>
  <r>
    <s v="School_O (Nursery)"/>
    <s v="Teaching Assistant"/>
    <x v="0"/>
    <s v="City_G"/>
    <s v="England"/>
    <d v="2022-08-17T00:00:00"/>
    <d v="2022-08-18T00:00:00"/>
    <s v="0 months, 1 days"/>
    <n v="1"/>
    <n v="0.14285714285714285"/>
    <n v="2022"/>
  </r>
  <r>
    <s v="School_O (Nursery)"/>
    <s v="Teaching Assistant"/>
    <x v="0"/>
    <s v="City_G"/>
    <s v="England"/>
    <d v="2022-08-22T00:00:00"/>
    <d v="2022-08-25T00:00:00"/>
    <s v="0 months, 3 days"/>
    <n v="3"/>
    <n v="0.42857142857142855"/>
    <n v="2022"/>
  </r>
  <r>
    <s v="School_O (Nursery)"/>
    <s v="Teaching Assistant"/>
    <x v="0"/>
    <s v="City_G"/>
    <s v="England"/>
    <d v="2022-08-31T00:00:00"/>
    <d v="2022-09-02T00:00:00"/>
    <s v="0 months, 2 days"/>
    <n v="2"/>
    <n v="0.2857142857142857"/>
    <n v="2022"/>
  </r>
  <r>
    <s v="School_V (Secondary)"/>
    <s v="Teaching Assistant"/>
    <x v="0"/>
    <s v="City_C"/>
    <s v="England"/>
    <d v="2022-09-14T00:00:00"/>
    <d v="2022-09-15T00:00:00"/>
    <s v="0 months, 1 days"/>
    <n v="1"/>
    <n v="0.14285714285714285"/>
    <n v="2022"/>
  </r>
  <r>
    <s v="School_O (Nursery)"/>
    <s v="Teaching Assistant"/>
    <x v="0"/>
    <s v="City_G"/>
    <s v="England"/>
    <d v="2022-09-15T00:00:00"/>
    <d v="2022-09-16T00:00:00"/>
    <s v="0 months, 1 days"/>
    <n v="1"/>
    <n v="0.14285714285714285"/>
    <n v="2022"/>
  </r>
  <r>
    <s v="School_H (Primary)"/>
    <s v="Teaching Assistant"/>
    <x v="0"/>
    <s v="City_D"/>
    <s v="England"/>
    <d v="2024-02-27T00:00:00"/>
    <d v="2024-03-14T00:00:00"/>
    <s v="0 months, 16 days"/>
    <n v="16"/>
    <n v="2.2857142857142856"/>
    <n v="2024"/>
  </r>
  <r>
    <s v="School_W (Adult)"/>
    <s v="Teacher"/>
    <x v="0"/>
    <s v="City_J"/>
    <s v="Online"/>
    <d v="2024-10-08T00:00:00"/>
    <d v="2025-04-27T00:00:00"/>
    <s v="6 months, 19 days"/>
    <n v="201"/>
    <n v="28.714285714285715"/>
    <n v="2024"/>
  </r>
  <r>
    <s v="School_X (Primary)"/>
    <s v="Teaching Assistant"/>
    <x v="0"/>
    <s v="City_K"/>
    <s v="England"/>
    <d v="2024-10-28T00:00:00"/>
    <d v="2025-02-07T00:00:00"/>
    <s v="3 months, 10 days"/>
    <n v="102"/>
    <n v="14.571428571428571"/>
    <n v="2024"/>
  </r>
  <r>
    <s v="School_Y (Primary)"/>
    <s v="Teaching Assistant"/>
    <x v="0"/>
    <s v="City_D"/>
    <s v="England"/>
    <d v="2025-02-10T00:00:00"/>
    <d v="2026-02-13T00:00:00"/>
    <s v="12 months, 3 days"/>
    <n v="368"/>
    <n v="52.571428571428569"/>
    <n v="2025"/>
  </r>
  <r>
    <s v="Warehouse_A"/>
    <s v="Warehous Operative"/>
    <x v="1"/>
    <s v="City_L"/>
    <s v="England"/>
    <d v="2022-09-23T00:00:00"/>
    <d v="2023-06-22T00:00:00"/>
    <s v="8 months, 30 days"/>
    <n v="272"/>
    <n v="38.857142857142854"/>
    <n v="2022"/>
  </r>
  <r>
    <s v="Hotel_A"/>
    <s v="Admin Assistant"/>
    <x v="1"/>
    <s v="City_M"/>
    <s v="Bermuda"/>
    <d v="2007-02-12T00:00:00"/>
    <d v="2011-12-11T00:00:00"/>
    <s v="57 months, 29 days"/>
    <n v="1763"/>
    <n v="251.85714285714286"/>
    <n v="2007"/>
  </r>
  <r>
    <s v="Data_A"/>
    <s v="Market Researcher"/>
    <x v="1"/>
    <s v="City_J"/>
    <s v="England"/>
    <d v="2023-10-31T00:00:00"/>
    <d v="2024-10-14T00:00:00"/>
    <s v="11 months, 13 days"/>
    <n v="349"/>
    <n v="49.857142857142854"/>
    <n v="2023"/>
  </r>
  <r>
    <s v="Museum_A"/>
    <s v="Museum Operative"/>
    <x v="1"/>
    <s v="City_N"/>
    <s v="Bermuda"/>
    <d v="2005-06-12T00:00:00"/>
    <d v="2006-07-20T00:00:00"/>
    <s v="13 months, 8 days"/>
    <n v="403"/>
    <n v="57.571428571428569"/>
    <n v="2005"/>
  </r>
  <r>
    <s v="Call_Center_A"/>
    <s v="Payroll Administrator"/>
    <x v="1"/>
    <s v="City_E"/>
    <s v="England"/>
    <d v="2021-03-08T00:00:00"/>
    <d v="2021-08-23T00:00:00"/>
    <s v="5 months, 15 days"/>
    <n v="168"/>
    <n v="24"/>
    <n v="20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B2F4C3-DB8F-47F5-8379-5D07DC7E190D}" name="PivotTable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Country">
  <location ref="A3:C5" firstHeaderRow="1" firstDataRow="1" firstDataCol="2"/>
  <pivotFields count="9">
    <pivotField compact="0" outline="0" showAll="0" defaultSubtotal="0"/>
    <pivotField axis="axisRow" dataField="1" compact="0" outline="0" showAll="0" defaultSubtotal="0">
      <items count="2">
        <item x="0"/>
        <item x="1"/>
      </items>
    </pivotField>
    <pivotField compact="0" outline="0" showAll="0" defaultSubtotal="0"/>
    <pivotField axis="axisRow" compact="0" outline="0" showAll="0" defaultSubtotal="0">
      <items count="2">
        <item x="1"/>
        <item x="0"/>
      </items>
    </pivotField>
    <pivotField compact="0" numFmtId="165" outline="0" showAll="0" defaultSubtotal="0"/>
    <pivotField compact="0" numFmtId="165" outline="0" showAll="0" defaultSubtotal="0"/>
    <pivotField compact="0" outline="0" showAll="0" defaultSubtotal="0"/>
    <pivotField compact="0" numFmtId="1" outline="0" showAll="0" defaultSubtotal="0"/>
    <pivotField compact="0" numFmtId="166" outline="0" showAll="0" defaultSubtotal="0"/>
  </pivotFields>
  <rowFields count="2">
    <field x="3"/>
    <field x="1"/>
  </rowFields>
  <rowItems count="2">
    <i>
      <x/>
      <x v="1"/>
    </i>
    <i>
      <x v="1"/>
      <x/>
    </i>
  </rowItems>
  <colItems count="1">
    <i/>
  </colItems>
  <dataFields count="1">
    <dataField name="Count of Role" fld="1" subtotal="count"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065536-CFD1-4288-970D-46E088E985BB}" name="Total Time Spent per School (Day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9">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numFmtId="165" showAll="0"/>
    <pivotField numFmtId="165" showAll="0"/>
    <pivotField showAll="0"/>
    <pivotField dataField="1" numFmtId="1" showAll="0"/>
    <pivotField numFmtId="166"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Duration_Days"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14A667-1542-435D-9027-A2D55F148F47}"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4" firstHeaderRow="0" firstDataRow="1" firstDataCol="1"/>
  <pivotFields count="12">
    <pivotField showAll="0"/>
    <pivotField showAll="0"/>
    <pivotField axis="axisRow" showAll="0">
      <items count="3">
        <item x="1"/>
        <item x="0"/>
        <item t="default"/>
      </items>
    </pivotField>
    <pivotField showAll="0"/>
    <pivotField showAll="0"/>
    <pivotField numFmtId="165" showAll="0"/>
    <pivotField numFmtId="165" showAll="0"/>
    <pivotField showAll="0"/>
    <pivotField dataField="1" numFmtId="1" showAll="0"/>
    <pivotField numFmtId="166" showAll="0"/>
    <pivotField showAll="0"/>
    <pivotField dataField="1" dragToRow="0" dragToCol="0" dragToPage="0" showAll="0" defaultSubtotal="0"/>
  </pivotFields>
  <rowFields count="1">
    <field x="2"/>
  </rowFields>
  <rowItems count="3">
    <i>
      <x/>
    </i>
    <i>
      <x v="1"/>
    </i>
    <i t="grand">
      <x/>
    </i>
  </rowItems>
  <colFields count="1">
    <field x="-2"/>
  </colFields>
  <colItems count="2">
    <i>
      <x/>
    </i>
    <i i="1">
      <x v="1"/>
    </i>
  </colItems>
  <dataFields count="2">
    <dataField name="Sum of Duration_Days" fld="8" baseField="0" baseItem="0" numFmtId="1"/>
    <dataField name="Sum of Duration_Years" fld="11" baseField="0" baseItem="0" numFmtId="166"/>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_Category" xr10:uid="{E3E09EC1-3FDA-4921-AFFF-32BEE2BA204C}" sourceName="Role_Category">
  <pivotTables>
    <pivotTable tabId="6" name="PivotTable6"/>
  </pivotTables>
  <data>
    <tabular pivotCacheId="4731082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_Category" xr10:uid="{C43A13CA-1A34-463F-B47E-4BC211212902}" cache="Slicer_Role_Category" caption="Role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D4C4DF-4CC8-432A-96B0-7824B5D60935}" name="education_roles" displayName="education_roles" ref="A1:I41" totalsRowShown="0" headerRowDxfId="27" dataDxfId="25" headerRowBorderDxfId="26" tableBorderDxfId="24">
  <autoFilter ref="A1:I41" xr:uid="{F15C0F71-EF0E-4AAB-BFAE-5B2A031FCE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50E8D2E-3A9D-44E0-9505-101FA428FC9C}" name="School_Name" dataDxfId="23"/>
    <tableColumn id="2" xr3:uid="{C6FE5DF8-40C9-4D34-AC19-0F3451F4BF4B}" name="Role" dataDxfId="22"/>
    <tableColumn id="3" xr3:uid="{FC4B91EE-2BD5-4F14-99EF-6ED20113CB15}" name="City" dataDxfId="21"/>
    <tableColumn id="4" xr3:uid="{810BADC9-D443-44EF-AB8B-07F6DB700E8B}" name="Country" dataDxfId="20"/>
    <tableColumn id="5" xr3:uid="{490B1BF9-8CB6-41B5-891F-BA820CFE4255}" name="Start_Date" dataDxfId="19"/>
    <tableColumn id="6" xr3:uid="{46B9AAD9-0558-42D0-B54F-AF502A16FD95}" name="End_Date" dataDxfId="18"/>
    <tableColumn id="7" xr3:uid="{16AC3ED7-8D2A-4D12-9005-446189CD84F9}" name="Duration_Months_Days" dataDxfId="17">
      <calculatedColumnFormula>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calculatedColumnFormula>
    </tableColumn>
    <tableColumn id="8" xr3:uid="{8213ED3A-6D91-4560-88CD-CF03D23EE9D2}" name="Duration_Days" dataDxfId="16">
      <calculatedColumnFormula>IF(education_roles[[#This Row],[End_Date]]="",TODAY()-education_roles[[#This Row],[Start_Date]],education_roles[[#This Row],[End_Date]]-education_roles[[#This Row],[Start_Date]])</calculatedColumnFormula>
    </tableColumn>
    <tableColumn id="9" xr3:uid="{AE476E70-4736-4485-8A8F-104DBC4799FA}" name="Duration_Weeks" dataDxfId="15">
      <calculatedColumnFormula>education_roles[[#This Row],[Duration_Days]]/7</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514A44-68AE-47A7-9852-20A8E35FC6ED}" name="WorkHistory" displayName="WorkHistory" ref="A1:K46" totalsRowShown="0" headerRowDxfId="14" dataDxfId="13" headerRowBorderDxfId="11" tableBorderDxfId="12">
  <autoFilter ref="A1:K46" xr:uid="{89514A44-68AE-47A7-9852-20A8E35FC6ED}"/>
  <tableColumns count="11">
    <tableColumn id="1" xr3:uid="{7DE64680-E550-4B0A-97B6-D74E6B89299E}" name="Organisation" dataDxfId="10"/>
    <tableColumn id="2" xr3:uid="{737A9D63-54A5-43DC-BDE8-C09A75CB67DE}" name="Role" dataDxfId="9"/>
    <tableColumn id="11" xr3:uid="{0EAA3601-EDBB-4369-8D28-FB34859387CF}" name="Role_Category" dataDxfId="0"/>
    <tableColumn id="3" xr3:uid="{C7F09834-E821-41BE-9B21-BEC3FB20C1C1}" name="City" dataDxfId="8"/>
    <tableColumn id="4" xr3:uid="{AE36DC68-9F01-4F02-B409-DE430E3B83D3}" name="Country" dataDxfId="7"/>
    <tableColumn id="5" xr3:uid="{976869FB-7049-4FB7-BCDE-66B67800DB3F}" name="Start_Date" dataDxfId="6"/>
    <tableColumn id="6" xr3:uid="{4A6E1B4A-04F9-4A52-859C-B4AEA1B97B85}" name="End_Date" dataDxfId="5"/>
    <tableColumn id="7" xr3:uid="{026CAD4C-C3DA-47A0-BF62-B49E52646C39}" name="Duration_Months_Days" dataDxfId="4">
      <calculatedColumnFormula>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calculatedColumnFormula>
    </tableColumn>
    <tableColumn id="8" xr3:uid="{F058B2D2-5C82-4019-AF2F-FD64E9A6A3E1}" name="Duration_Days" dataDxfId="3">
      <calculatedColumnFormula>IF(WorkHistory[[#This Row],[End_Date]]="",TODAY()-WorkHistory[[#This Row],[Start_Date]],WorkHistory[[#This Row],[End_Date]]-WorkHistory[[#This Row],[Start_Date]])</calculatedColumnFormula>
    </tableColumn>
    <tableColumn id="9" xr3:uid="{BEE827F6-545E-4A33-BAB4-AE9BBC8F11DE}" name="Duration_Weeks" dataDxfId="2">
      <calculatedColumnFormula>WorkHistory[[#This Row],[Duration_Days]]/7</calculatedColumnFormula>
    </tableColumn>
    <tableColumn id="10" xr3:uid="{BC132AFB-1BD1-439D-AF47-D65C3948B91B}" name="Year_Started" dataDxfId="1">
      <calculatedColumnFormula>YEAR(F2)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BE2A-5833-4DC8-8E93-D523A0AD2B4E}">
  <dimension ref="A1:Q1002"/>
  <sheetViews>
    <sheetView zoomScaleNormal="100" workbookViewId="0">
      <selection activeCell="G45" sqref="G45"/>
    </sheetView>
  </sheetViews>
  <sheetFormatPr defaultColWidth="14.453125" defaultRowHeight="15" customHeight="1" x14ac:dyDescent="0.35"/>
  <cols>
    <col min="1" max="1" width="19.08984375" bestFit="1" customWidth="1"/>
    <col min="2" max="2" width="16.1796875" bestFit="1" customWidth="1"/>
    <col min="3" max="4" width="16" customWidth="1"/>
    <col min="5" max="5" width="12.7265625" customWidth="1"/>
    <col min="6" max="6" width="13.81640625" customWidth="1"/>
    <col min="7" max="7" width="22.54296875" customWidth="1"/>
    <col min="8" max="8" width="14.7265625" customWidth="1"/>
    <col min="9" max="9" width="19.54296875" customWidth="1"/>
    <col min="10" max="10" width="23.08984375" bestFit="1" customWidth="1"/>
    <col min="11" max="27" width="8.7265625" customWidth="1"/>
  </cols>
  <sheetData>
    <row r="1" spans="1:17" ht="14.25" customHeight="1" x14ac:dyDescent="0.35">
      <c r="A1" s="1" t="s">
        <v>0</v>
      </c>
      <c r="B1" s="1" t="s">
        <v>1</v>
      </c>
      <c r="C1" s="1" t="s">
        <v>2</v>
      </c>
      <c r="D1" s="1" t="s">
        <v>3</v>
      </c>
      <c r="E1" s="2" t="s">
        <v>4</v>
      </c>
      <c r="F1" s="2" t="s">
        <v>5</v>
      </c>
      <c r="G1" s="3" t="s">
        <v>6</v>
      </c>
      <c r="H1" s="3" t="s">
        <v>7</v>
      </c>
      <c r="I1" s="1" t="s">
        <v>8</v>
      </c>
      <c r="J1" s="4"/>
    </row>
    <row r="2" spans="1:17" s="10" customFormat="1" ht="14.25" customHeight="1" x14ac:dyDescent="0.35">
      <c r="A2" s="5" t="s">
        <v>57</v>
      </c>
      <c r="B2" s="5" t="s">
        <v>9</v>
      </c>
      <c r="C2" s="5" t="s">
        <v>10</v>
      </c>
      <c r="D2" s="5" t="s">
        <v>11</v>
      </c>
      <c r="E2" s="6">
        <v>41506</v>
      </c>
      <c r="F2" s="6">
        <v>43450</v>
      </c>
      <c r="G2"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63 months, 26 days</v>
      </c>
      <c r="H2" s="7">
        <f ca="1">IF(education_roles[[#This Row],[End_Date]]="",TODAY()-education_roles[[#This Row],[Start_Date]],education_roles[[#This Row],[End_Date]]-education_roles[[#This Row],[Start_Date]])</f>
        <v>1944</v>
      </c>
      <c r="I2" s="8">
        <f ca="1">education_roles[[#This Row],[Duration_Days]]/7</f>
        <v>277.71428571428572</v>
      </c>
      <c r="J2" s="9"/>
    </row>
    <row r="3" spans="1:17" ht="14.25" customHeight="1" x14ac:dyDescent="0.35">
      <c r="A3" s="11" t="s">
        <v>34</v>
      </c>
      <c r="B3" s="11" t="s">
        <v>12</v>
      </c>
      <c r="C3" s="11" t="s">
        <v>13</v>
      </c>
      <c r="D3" s="11" t="s">
        <v>14</v>
      </c>
      <c r="E3" s="12">
        <v>44452</v>
      </c>
      <c r="F3" s="12">
        <v>44519</v>
      </c>
      <c r="G3"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2 months, 6 days</v>
      </c>
      <c r="H3" s="7">
        <f ca="1">IF(education_roles[[#This Row],[End_Date]]="",TODAY()-education_roles[[#This Row],[Start_Date]],education_roles[[#This Row],[End_Date]]-education_roles[[#This Row],[Start_Date]])</f>
        <v>67</v>
      </c>
      <c r="I3" s="8">
        <f ca="1">education_roles[[#This Row],[Duration_Days]]/7</f>
        <v>9.5714285714285712</v>
      </c>
      <c r="J3" s="13"/>
    </row>
    <row r="4" spans="1:17" ht="14.25" customHeight="1" x14ac:dyDescent="0.35">
      <c r="A4" s="11" t="s">
        <v>35</v>
      </c>
      <c r="B4" s="11" t="s">
        <v>12</v>
      </c>
      <c r="C4" s="11" t="s">
        <v>15</v>
      </c>
      <c r="D4" s="11" t="s">
        <v>14</v>
      </c>
      <c r="E4" s="12">
        <v>44522</v>
      </c>
      <c r="F4" s="12">
        <v>44589</v>
      </c>
      <c r="G4"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2 months, 6 days</v>
      </c>
      <c r="H4" s="7">
        <f ca="1">IF(education_roles[[#This Row],[End_Date]]="",TODAY()-education_roles[[#This Row],[Start_Date]],education_roles[[#This Row],[End_Date]]-education_roles[[#This Row],[Start_Date]])</f>
        <v>67</v>
      </c>
      <c r="I4" s="8">
        <f ca="1">education_roles[[#This Row],[Duration_Days]]/7</f>
        <v>9.5714285714285712</v>
      </c>
      <c r="J4" s="13"/>
    </row>
    <row r="5" spans="1:17" ht="14.25" customHeight="1" x14ac:dyDescent="0.35">
      <c r="A5" s="11" t="s">
        <v>36</v>
      </c>
      <c r="B5" s="11" t="s">
        <v>12</v>
      </c>
      <c r="C5" s="11" t="s">
        <v>16</v>
      </c>
      <c r="D5" s="11" t="s">
        <v>14</v>
      </c>
      <c r="E5" s="12">
        <v>44593</v>
      </c>
      <c r="F5" s="12">
        <v>44600</v>
      </c>
      <c r="G5"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7 days</v>
      </c>
      <c r="H5" s="7">
        <f ca="1">IF(education_roles[[#This Row],[End_Date]]="",TODAY()-education_roles[[#This Row],[Start_Date]],education_roles[[#This Row],[End_Date]]-education_roles[[#This Row],[Start_Date]])</f>
        <v>7</v>
      </c>
      <c r="I5" s="8">
        <f ca="1">education_roles[[#This Row],[Duration_Days]]/7</f>
        <v>1</v>
      </c>
      <c r="J5" s="13"/>
    </row>
    <row r="6" spans="1:17" ht="14.25" customHeight="1" x14ac:dyDescent="0.35">
      <c r="A6" s="11" t="s">
        <v>37</v>
      </c>
      <c r="B6" s="11" t="s">
        <v>12</v>
      </c>
      <c r="C6" t="s">
        <v>17</v>
      </c>
      <c r="D6" s="11" t="s">
        <v>14</v>
      </c>
      <c r="E6" s="12">
        <v>44613</v>
      </c>
      <c r="F6" s="12">
        <v>44617</v>
      </c>
      <c r="G6"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4 days</v>
      </c>
      <c r="H6" s="7">
        <f ca="1">IF(education_roles[[#This Row],[End_Date]]="",TODAY()-education_roles[[#This Row],[Start_Date]],education_roles[[#This Row],[End_Date]]-education_roles[[#This Row],[Start_Date]])</f>
        <v>4</v>
      </c>
      <c r="I6" s="8">
        <f ca="1">education_roles[[#This Row],[Duration_Days]]/7</f>
        <v>0.5714285714285714</v>
      </c>
      <c r="J6" s="13"/>
    </row>
    <row r="7" spans="1:17" ht="14.25" customHeight="1" x14ac:dyDescent="0.35">
      <c r="A7" s="11" t="s">
        <v>38</v>
      </c>
      <c r="B7" s="11" t="s">
        <v>12</v>
      </c>
      <c r="C7" t="s">
        <v>18</v>
      </c>
      <c r="D7" s="11" t="s">
        <v>14</v>
      </c>
      <c r="E7" s="12">
        <v>44620</v>
      </c>
      <c r="F7" s="12">
        <v>44620</v>
      </c>
      <c r="G7"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0 days</v>
      </c>
      <c r="H7" s="7">
        <f ca="1">IF(education_roles[[#This Row],[End_Date]]="",TODAY()-education_roles[[#This Row],[Start_Date]],education_roles[[#This Row],[End_Date]]-education_roles[[#This Row],[Start_Date]])</f>
        <v>0</v>
      </c>
      <c r="I7" s="8">
        <f ca="1">education_roles[[#This Row],[Duration_Days]]/7</f>
        <v>0</v>
      </c>
      <c r="J7" s="13"/>
    </row>
    <row r="8" spans="1:17" ht="14.25" customHeight="1" x14ac:dyDescent="0.35">
      <c r="A8" s="11" t="s">
        <v>55</v>
      </c>
      <c r="B8" s="11" t="s">
        <v>12</v>
      </c>
      <c r="C8" t="s">
        <v>19</v>
      </c>
      <c r="D8" s="11" t="s">
        <v>14</v>
      </c>
      <c r="E8" s="12">
        <v>44621</v>
      </c>
      <c r="F8" s="12">
        <v>44624</v>
      </c>
      <c r="G8"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3 days</v>
      </c>
      <c r="H8" s="7">
        <f ca="1">IF(education_roles[[#This Row],[End_Date]]="",TODAY()-education_roles[[#This Row],[Start_Date]],education_roles[[#This Row],[End_Date]]-education_roles[[#This Row],[Start_Date]])</f>
        <v>3</v>
      </c>
      <c r="I8" s="8">
        <f ca="1">education_roles[[#This Row],[Duration_Days]]/7</f>
        <v>0.42857142857142855</v>
      </c>
      <c r="J8" s="13"/>
    </row>
    <row r="9" spans="1:17" ht="14.25" customHeight="1" x14ac:dyDescent="0.35">
      <c r="A9" s="11" t="s">
        <v>46</v>
      </c>
      <c r="B9" s="11" t="s">
        <v>12</v>
      </c>
      <c r="C9" s="11" t="s">
        <v>16</v>
      </c>
      <c r="D9" s="11" t="s">
        <v>14</v>
      </c>
      <c r="E9" s="12">
        <v>44627</v>
      </c>
      <c r="F9" s="12">
        <v>44631</v>
      </c>
      <c r="G9"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4 days</v>
      </c>
      <c r="H9" s="7">
        <f ca="1">IF(education_roles[[#This Row],[End_Date]]="",TODAY()-education_roles[[#This Row],[Start_Date]],education_roles[[#This Row],[End_Date]]-education_roles[[#This Row],[Start_Date]])</f>
        <v>4</v>
      </c>
      <c r="I9" s="8">
        <f ca="1">education_roles[[#This Row],[Duration_Days]]/7</f>
        <v>0.5714285714285714</v>
      </c>
      <c r="J9" s="13"/>
    </row>
    <row r="10" spans="1:17" ht="14.25" customHeight="1" x14ac:dyDescent="0.35">
      <c r="A10" s="11" t="s">
        <v>55</v>
      </c>
      <c r="B10" s="11" t="s">
        <v>12</v>
      </c>
      <c r="C10" s="11" t="s">
        <v>19</v>
      </c>
      <c r="D10" s="11" t="s">
        <v>14</v>
      </c>
      <c r="E10" s="12">
        <v>44634</v>
      </c>
      <c r="F10" s="12">
        <v>44644</v>
      </c>
      <c r="G10"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10 days</v>
      </c>
      <c r="H10" s="7">
        <f ca="1">IF(education_roles[[#This Row],[End_Date]]="",TODAY()-education_roles[[#This Row],[Start_Date]],education_roles[[#This Row],[End_Date]]-education_roles[[#This Row],[Start_Date]])</f>
        <v>10</v>
      </c>
      <c r="I10" s="8">
        <f ca="1">education_roles[[#This Row],[Duration_Days]]/7</f>
        <v>1.4285714285714286</v>
      </c>
      <c r="J10" s="13"/>
    </row>
    <row r="11" spans="1:17" ht="14.25" customHeight="1" x14ac:dyDescent="0.35">
      <c r="A11" s="11" t="s">
        <v>53</v>
      </c>
      <c r="B11" s="11" t="s">
        <v>12</v>
      </c>
      <c r="C11" t="s">
        <v>20</v>
      </c>
      <c r="D11" s="11" t="s">
        <v>14</v>
      </c>
      <c r="E11" s="12">
        <v>44648</v>
      </c>
      <c r="F11" s="12">
        <v>44659</v>
      </c>
      <c r="G11"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11 days</v>
      </c>
      <c r="H11" s="7">
        <f ca="1">IF(education_roles[[#This Row],[End_Date]]="",TODAY()-education_roles[[#This Row],[Start_Date]],education_roles[[#This Row],[End_Date]]-education_roles[[#This Row],[Start_Date]])</f>
        <v>11</v>
      </c>
      <c r="I11" s="8">
        <f ca="1">education_roles[[#This Row],[Duration_Days]]/7</f>
        <v>1.5714285714285714</v>
      </c>
      <c r="J11" s="13"/>
    </row>
    <row r="12" spans="1:17" ht="14.25" customHeight="1" x14ac:dyDescent="0.35">
      <c r="A12" s="11" t="s">
        <v>52</v>
      </c>
      <c r="B12" s="11" t="s">
        <v>12</v>
      </c>
      <c r="C12" s="11" t="s">
        <v>17</v>
      </c>
      <c r="D12" s="11" t="s">
        <v>14</v>
      </c>
      <c r="E12" s="12">
        <v>44676</v>
      </c>
      <c r="F12" s="12">
        <v>44680</v>
      </c>
      <c r="G12"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4 days</v>
      </c>
      <c r="H12" s="7">
        <f ca="1">IF(education_roles[[#This Row],[End_Date]]="",TODAY()-education_roles[[#This Row],[Start_Date]],education_roles[[#This Row],[End_Date]]-education_roles[[#This Row],[Start_Date]])</f>
        <v>4</v>
      </c>
      <c r="I12" s="8">
        <f ca="1">education_roles[[#This Row],[Duration_Days]]/7</f>
        <v>0.5714285714285714</v>
      </c>
      <c r="J12" s="13"/>
    </row>
    <row r="13" spans="1:17" ht="14" customHeight="1" x14ac:dyDescent="0.35">
      <c r="A13" s="11" t="s">
        <v>39</v>
      </c>
      <c r="B13" s="11" t="s">
        <v>12</v>
      </c>
      <c r="C13" s="11" t="s">
        <v>17</v>
      </c>
      <c r="D13" s="11" t="s">
        <v>14</v>
      </c>
      <c r="E13" s="12">
        <v>44684</v>
      </c>
      <c r="F13" s="12">
        <v>44685</v>
      </c>
      <c r="G13"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13" s="7">
        <f ca="1">IF(education_roles[[#This Row],[End_Date]]="",TODAY()-education_roles[[#This Row],[Start_Date]],education_roles[[#This Row],[End_Date]]-education_roles[[#This Row],[Start_Date]])</f>
        <v>1</v>
      </c>
      <c r="I13" s="8">
        <f ca="1">education_roles[[#This Row],[Duration_Days]]/7</f>
        <v>0.14285714285714285</v>
      </c>
      <c r="J13" s="13"/>
    </row>
    <row r="14" spans="1:17" ht="14.25" customHeight="1" x14ac:dyDescent="0.35">
      <c r="A14" s="11" t="s">
        <v>56</v>
      </c>
      <c r="B14" s="11" t="s">
        <v>12</v>
      </c>
      <c r="C14" s="11" t="s">
        <v>15</v>
      </c>
      <c r="D14" s="11" t="s">
        <v>14</v>
      </c>
      <c r="E14" s="12">
        <v>44685</v>
      </c>
      <c r="F14" s="12">
        <v>44687</v>
      </c>
      <c r="G14"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2 days</v>
      </c>
      <c r="H14" s="7">
        <f ca="1">IF(education_roles[[#This Row],[End_Date]]="",TODAY()-education_roles[[#This Row],[Start_Date]],education_roles[[#This Row],[End_Date]]-education_roles[[#This Row],[Start_Date]])</f>
        <v>2</v>
      </c>
      <c r="I14" s="8">
        <f ca="1">education_roles[[#This Row],[Duration_Days]]/7</f>
        <v>0.2857142857142857</v>
      </c>
      <c r="J14" s="13"/>
    </row>
    <row r="15" spans="1:17" ht="14.25" customHeight="1" x14ac:dyDescent="0.35">
      <c r="A15" s="11" t="s">
        <v>40</v>
      </c>
      <c r="B15" s="11" t="s">
        <v>12</v>
      </c>
      <c r="C15" s="11" t="s">
        <v>17</v>
      </c>
      <c r="D15" s="11" t="s">
        <v>14</v>
      </c>
      <c r="E15" s="12">
        <v>44690</v>
      </c>
      <c r="F15" s="12">
        <v>44691</v>
      </c>
      <c r="G15"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15" s="7">
        <f ca="1">IF(education_roles[[#This Row],[End_Date]]="",TODAY()-education_roles[[#This Row],[Start_Date]],education_roles[[#This Row],[End_Date]]-education_roles[[#This Row],[Start_Date]])</f>
        <v>1</v>
      </c>
      <c r="I15" s="8">
        <f ca="1">education_roles[[#This Row],[Duration_Days]]/7</f>
        <v>0.14285714285714285</v>
      </c>
      <c r="J15" s="13"/>
      <c r="Q15" t="s">
        <v>21</v>
      </c>
    </row>
    <row r="16" spans="1:17" ht="14.25" customHeight="1" x14ac:dyDescent="0.35">
      <c r="A16" s="11" t="s">
        <v>41</v>
      </c>
      <c r="B16" s="11" t="s">
        <v>12</v>
      </c>
      <c r="C16" t="s">
        <v>22</v>
      </c>
      <c r="D16" s="11" t="s">
        <v>14</v>
      </c>
      <c r="E16" s="12">
        <v>44691</v>
      </c>
      <c r="F16" s="12">
        <v>44692</v>
      </c>
      <c r="G16"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16" s="7">
        <f ca="1">IF(education_roles[[#This Row],[End_Date]]="",TODAY()-education_roles[[#This Row],[Start_Date]],education_roles[[#This Row],[End_Date]]-education_roles[[#This Row],[Start_Date]])</f>
        <v>1</v>
      </c>
      <c r="I16" s="8">
        <f ca="1">education_roles[[#This Row],[Duration_Days]]/7</f>
        <v>0.14285714285714285</v>
      </c>
      <c r="J16" s="13"/>
    </row>
    <row r="17" spans="1:10" ht="14.25" customHeight="1" x14ac:dyDescent="0.35">
      <c r="A17" s="11" t="s">
        <v>42</v>
      </c>
      <c r="B17" s="11" t="s">
        <v>12</v>
      </c>
      <c r="C17" s="11" t="s">
        <v>19</v>
      </c>
      <c r="D17" s="11" t="s">
        <v>14</v>
      </c>
      <c r="E17" s="12">
        <v>44693</v>
      </c>
      <c r="F17" s="12">
        <v>44694</v>
      </c>
      <c r="G17"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17" s="7">
        <f ca="1">IF(education_roles[[#This Row],[End_Date]]="",TODAY()-education_roles[[#This Row],[Start_Date]],education_roles[[#This Row],[End_Date]]-education_roles[[#This Row],[Start_Date]])</f>
        <v>1</v>
      </c>
      <c r="I17" s="8">
        <f ca="1">education_roles[[#This Row],[Duration_Days]]/7</f>
        <v>0.14285714285714285</v>
      </c>
      <c r="J17" s="13"/>
    </row>
    <row r="18" spans="1:10" ht="14.25" customHeight="1" x14ac:dyDescent="0.35">
      <c r="A18" s="19" t="s">
        <v>52</v>
      </c>
      <c r="B18" s="11" t="s">
        <v>12</v>
      </c>
      <c r="C18" s="11" t="s">
        <v>17</v>
      </c>
      <c r="D18" s="11" t="s">
        <v>14</v>
      </c>
      <c r="E18" s="12">
        <v>44697</v>
      </c>
      <c r="F18" s="12">
        <v>44701</v>
      </c>
      <c r="G18"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4 days</v>
      </c>
      <c r="H18" s="7">
        <f ca="1">IF(education_roles[[#This Row],[End_Date]]="",TODAY()-education_roles[[#This Row],[Start_Date]],education_roles[[#This Row],[End_Date]]-education_roles[[#This Row],[Start_Date]])</f>
        <v>4</v>
      </c>
      <c r="I18" s="8">
        <f ca="1">education_roles[[#This Row],[Duration_Days]]/7</f>
        <v>0.5714285714285714</v>
      </c>
      <c r="J18" s="13"/>
    </row>
    <row r="19" spans="1:10" ht="14.25" customHeight="1" x14ac:dyDescent="0.35">
      <c r="A19" s="11" t="s">
        <v>54</v>
      </c>
      <c r="B19" s="11" t="s">
        <v>12</v>
      </c>
      <c r="C19" s="11" t="s">
        <v>17</v>
      </c>
      <c r="D19" s="11" t="s">
        <v>14</v>
      </c>
      <c r="E19" s="12">
        <v>44704</v>
      </c>
      <c r="F19" s="12">
        <v>44705</v>
      </c>
      <c r="G19"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19" s="7">
        <f ca="1">IF(education_roles[[#This Row],[End_Date]]="",TODAY()-education_roles[[#This Row],[Start_Date]],education_roles[[#This Row],[End_Date]]-education_roles[[#This Row],[Start_Date]])</f>
        <v>1</v>
      </c>
      <c r="I19" s="8">
        <f ca="1">education_roles[[#This Row],[Duration_Days]]/7</f>
        <v>0.14285714285714285</v>
      </c>
      <c r="J19" s="13"/>
    </row>
    <row r="20" spans="1:10" ht="14.25" customHeight="1" x14ac:dyDescent="0.35">
      <c r="A20" s="11" t="s">
        <v>52</v>
      </c>
      <c r="B20" s="11" t="s">
        <v>12</v>
      </c>
      <c r="C20" s="11" t="s">
        <v>17</v>
      </c>
      <c r="D20" s="11" t="s">
        <v>14</v>
      </c>
      <c r="E20" s="12">
        <v>44705</v>
      </c>
      <c r="F20" s="12">
        <v>44708</v>
      </c>
      <c r="G20"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3 days</v>
      </c>
      <c r="H20" s="7">
        <f ca="1">IF(education_roles[[#This Row],[End_Date]]="",TODAY()-education_roles[[#This Row],[Start_Date]],education_roles[[#This Row],[End_Date]]-education_roles[[#This Row],[Start_Date]])</f>
        <v>3</v>
      </c>
      <c r="I20" s="8">
        <f ca="1">education_roles[[#This Row],[Duration_Days]]/7</f>
        <v>0.42857142857142855</v>
      </c>
      <c r="J20" s="13"/>
    </row>
    <row r="21" spans="1:10" ht="14.25" customHeight="1" x14ac:dyDescent="0.35">
      <c r="A21" s="11" t="s">
        <v>52</v>
      </c>
      <c r="B21" s="11" t="s">
        <v>12</v>
      </c>
      <c r="C21" s="11" t="s">
        <v>17</v>
      </c>
      <c r="D21" s="11" t="s">
        <v>14</v>
      </c>
      <c r="E21" s="12">
        <v>44725</v>
      </c>
      <c r="F21" s="12">
        <v>44729</v>
      </c>
      <c r="G21"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4 days</v>
      </c>
      <c r="H21" s="7">
        <f ca="1">IF(education_roles[[#This Row],[End_Date]]="",TODAY()-education_roles[[#This Row],[Start_Date]],education_roles[[#This Row],[End_Date]]-education_roles[[#This Row],[Start_Date]])</f>
        <v>4</v>
      </c>
      <c r="I21" s="8">
        <f ca="1">education_roles[[#This Row],[Duration_Days]]/7</f>
        <v>0.5714285714285714</v>
      </c>
      <c r="J21" s="13"/>
    </row>
    <row r="22" spans="1:10" ht="14.25" customHeight="1" x14ac:dyDescent="0.35">
      <c r="A22" s="11" t="s">
        <v>43</v>
      </c>
      <c r="B22" s="11" t="s">
        <v>12</v>
      </c>
      <c r="C22" s="11" t="s">
        <v>17</v>
      </c>
      <c r="D22" s="11" t="s">
        <v>14</v>
      </c>
      <c r="E22" s="12">
        <v>44732</v>
      </c>
      <c r="F22" s="12">
        <v>44733</v>
      </c>
      <c r="G22"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22" s="7">
        <f ca="1">IF(education_roles[[#This Row],[End_Date]]="",TODAY()-education_roles[[#This Row],[Start_Date]],education_roles[[#This Row],[End_Date]]-education_roles[[#This Row],[Start_Date]])</f>
        <v>1</v>
      </c>
      <c r="I22" s="8">
        <f ca="1">education_roles[[#This Row],[Duration_Days]]/7</f>
        <v>0.14285714285714285</v>
      </c>
      <c r="J22" s="13"/>
    </row>
    <row r="23" spans="1:10" ht="14.25" customHeight="1" x14ac:dyDescent="0.35">
      <c r="A23" s="11" t="s">
        <v>42</v>
      </c>
      <c r="B23" s="11" t="s">
        <v>12</v>
      </c>
      <c r="C23" s="11" t="s">
        <v>19</v>
      </c>
      <c r="D23" s="11" t="s">
        <v>14</v>
      </c>
      <c r="E23" s="12">
        <v>44733</v>
      </c>
      <c r="F23" s="12">
        <v>44734</v>
      </c>
      <c r="G23"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23" s="7">
        <f ca="1">IF(education_roles[[#This Row],[End_Date]]="",TODAY()-education_roles[[#This Row],[Start_Date]],education_roles[[#This Row],[End_Date]]-education_roles[[#This Row],[Start_Date]])</f>
        <v>1</v>
      </c>
      <c r="I23" s="8">
        <f ca="1">education_roles[[#This Row],[Duration_Days]]/7</f>
        <v>0.14285714285714285</v>
      </c>
      <c r="J23" s="13"/>
    </row>
    <row r="24" spans="1:10" ht="14.25" customHeight="1" x14ac:dyDescent="0.35">
      <c r="A24" s="11" t="s">
        <v>42</v>
      </c>
      <c r="B24" s="11" t="s">
        <v>12</v>
      </c>
      <c r="C24" s="11" t="s">
        <v>19</v>
      </c>
      <c r="D24" s="11" t="s">
        <v>14</v>
      </c>
      <c r="E24" s="12">
        <v>44735</v>
      </c>
      <c r="F24" s="12">
        <v>44736</v>
      </c>
      <c r="G24"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24" s="7">
        <f ca="1">IF(education_roles[[#This Row],[End_Date]]="",TODAY()-education_roles[[#This Row],[Start_Date]],education_roles[[#This Row],[End_Date]]-education_roles[[#This Row],[Start_Date]])</f>
        <v>1</v>
      </c>
      <c r="I24" s="8">
        <f ca="1">education_roles[[#This Row],[Duration_Days]]/7</f>
        <v>0.14285714285714285</v>
      </c>
      <c r="J24" s="13"/>
    </row>
    <row r="25" spans="1:10" ht="14.25" customHeight="1" x14ac:dyDescent="0.35">
      <c r="A25" s="11" t="s">
        <v>49</v>
      </c>
      <c r="B25" s="11" t="s">
        <v>12</v>
      </c>
      <c r="C25" s="11" t="s">
        <v>18</v>
      </c>
      <c r="D25" s="11" t="s">
        <v>14</v>
      </c>
      <c r="E25" s="12">
        <v>44739</v>
      </c>
      <c r="F25" s="12">
        <v>44743</v>
      </c>
      <c r="G25"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4 days</v>
      </c>
      <c r="H25" s="7">
        <f ca="1">IF(education_roles[[#This Row],[End_Date]]="",TODAY()-education_roles[[#This Row],[Start_Date]],education_roles[[#This Row],[End_Date]]-education_roles[[#This Row],[Start_Date]])</f>
        <v>4</v>
      </c>
      <c r="I25" s="8">
        <f ca="1">education_roles[[#This Row],[Duration_Days]]/7</f>
        <v>0.5714285714285714</v>
      </c>
      <c r="J25" s="13"/>
    </row>
    <row r="26" spans="1:10" ht="14.25" customHeight="1" x14ac:dyDescent="0.35">
      <c r="A26" s="11" t="s">
        <v>50</v>
      </c>
      <c r="B26" s="11" t="s">
        <v>12</v>
      </c>
      <c r="C26" s="11" t="s">
        <v>18</v>
      </c>
      <c r="D26" s="11" t="s">
        <v>14</v>
      </c>
      <c r="E26" s="12">
        <v>44746</v>
      </c>
      <c r="F26" s="12">
        <v>44747</v>
      </c>
      <c r="G26"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26" s="7">
        <f ca="1">IF(education_roles[[#This Row],[End_Date]]="",TODAY()-education_roles[[#This Row],[Start_Date]],education_roles[[#This Row],[End_Date]]-education_roles[[#This Row],[Start_Date]])</f>
        <v>1</v>
      </c>
      <c r="I26" s="8">
        <f ca="1">education_roles[[#This Row],[Duration_Days]]/7</f>
        <v>0.14285714285714285</v>
      </c>
      <c r="J26" s="13"/>
    </row>
    <row r="27" spans="1:10" ht="14.25" customHeight="1" x14ac:dyDescent="0.35">
      <c r="A27" s="11" t="s">
        <v>51</v>
      </c>
      <c r="B27" s="11" t="s">
        <v>12</v>
      </c>
      <c r="C27" s="11" t="s">
        <v>18</v>
      </c>
      <c r="D27" s="11" t="s">
        <v>14</v>
      </c>
      <c r="E27" s="12">
        <v>44748</v>
      </c>
      <c r="F27" s="12">
        <v>44749</v>
      </c>
      <c r="G27"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27" s="7">
        <f ca="1">IF(education_roles[[#This Row],[End_Date]]="",TODAY()-education_roles[[#This Row],[Start_Date]],education_roles[[#This Row],[End_Date]]-education_roles[[#This Row],[Start_Date]])</f>
        <v>1</v>
      </c>
      <c r="I27" s="8">
        <f ca="1">education_roles[[#This Row],[Duration_Days]]/7</f>
        <v>0.14285714285714285</v>
      </c>
      <c r="J27" s="13"/>
    </row>
    <row r="28" spans="1:10" ht="14.25" customHeight="1" x14ac:dyDescent="0.35">
      <c r="A28" s="11" t="s">
        <v>52</v>
      </c>
      <c r="B28" s="11" t="s">
        <v>12</v>
      </c>
      <c r="C28" s="11" t="s">
        <v>17</v>
      </c>
      <c r="D28" s="11" t="s">
        <v>14</v>
      </c>
      <c r="E28" s="12">
        <v>44750</v>
      </c>
      <c r="F28" s="12">
        <v>44751</v>
      </c>
      <c r="G28"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28" s="7">
        <f ca="1">IF(education_roles[[#This Row],[End_Date]]="",TODAY()-education_roles[[#This Row],[Start_Date]],education_roles[[#This Row],[End_Date]]-education_roles[[#This Row],[Start_Date]])</f>
        <v>1</v>
      </c>
      <c r="I28" s="8">
        <f ca="1">education_roles[[#This Row],[Duration_Days]]/7</f>
        <v>0.14285714285714285</v>
      </c>
      <c r="J28" s="13"/>
    </row>
    <row r="29" spans="1:10" ht="14.25" customHeight="1" x14ac:dyDescent="0.35">
      <c r="A29" s="11" t="s">
        <v>51</v>
      </c>
      <c r="B29" s="11" t="s">
        <v>12</v>
      </c>
      <c r="C29" s="11" t="s">
        <v>18</v>
      </c>
      <c r="D29" s="11" t="s">
        <v>14</v>
      </c>
      <c r="E29" s="12">
        <v>44753</v>
      </c>
      <c r="F29" s="12">
        <v>44754</v>
      </c>
      <c r="G29"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29" s="7">
        <f ca="1">IF(education_roles[[#This Row],[End_Date]]="",TODAY()-education_roles[[#This Row],[Start_Date]],education_roles[[#This Row],[End_Date]]-education_roles[[#This Row],[Start_Date]])</f>
        <v>1</v>
      </c>
      <c r="I29" s="8">
        <f ca="1">education_roles[[#This Row],[Duration_Days]]/7</f>
        <v>0.14285714285714285</v>
      </c>
      <c r="J29" s="13"/>
    </row>
    <row r="30" spans="1:10" ht="14.25" customHeight="1" x14ac:dyDescent="0.35">
      <c r="A30" s="11" t="s">
        <v>53</v>
      </c>
      <c r="B30" s="11" t="s">
        <v>12</v>
      </c>
      <c r="C30" s="11" t="s">
        <v>20</v>
      </c>
      <c r="D30" s="11" t="s">
        <v>14</v>
      </c>
      <c r="E30" s="12">
        <v>44755</v>
      </c>
      <c r="F30" s="12">
        <v>44756</v>
      </c>
      <c r="G30"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30" s="7">
        <f ca="1">IF(education_roles[[#This Row],[End_Date]]="",TODAY()-education_roles[[#This Row],[Start_Date]],education_roles[[#This Row],[End_Date]]-education_roles[[#This Row],[Start_Date]])</f>
        <v>1</v>
      </c>
      <c r="I30" s="8">
        <f ca="1">education_roles[[#This Row],[Duration_Days]]/7</f>
        <v>0.14285714285714285</v>
      </c>
      <c r="J30" s="13"/>
    </row>
    <row r="31" spans="1:10" ht="14.25" customHeight="1" x14ac:dyDescent="0.35">
      <c r="A31" s="11" t="s">
        <v>44</v>
      </c>
      <c r="B31" s="11" t="s">
        <v>12</v>
      </c>
      <c r="C31" s="11" t="s">
        <v>18</v>
      </c>
      <c r="D31" s="11" t="s">
        <v>14</v>
      </c>
      <c r="E31" s="12">
        <v>44756</v>
      </c>
      <c r="F31" s="12">
        <v>44757</v>
      </c>
      <c r="G31"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31" s="7">
        <f ca="1">IF(education_roles[[#This Row],[End_Date]]="",TODAY()-education_roles[[#This Row],[Start_Date]],education_roles[[#This Row],[End_Date]]-education_roles[[#This Row],[Start_Date]])</f>
        <v>1</v>
      </c>
      <c r="I31" s="8">
        <f ca="1">education_roles[[#This Row],[Duration_Days]]/7</f>
        <v>0.14285714285714285</v>
      </c>
      <c r="J31" s="13"/>
    </row>
    <row r="32" spans="1:10" ht="14.25" customHeight="1" x14ac:dyDescent="0.35">
      <c r="A32" s="11" t="s">
        <v>42</v>
      </c>
      <c r="B32" s="11" t="s">
        <v>12</v>
      </c>
      <c r="C32" s="11" t="s">
        <v>19</v>
      </c>
      <c r="D32" s="11" t="s">
        <v>14</v>
      </c>
      <c r="E32" s="12">
        <v>44767</v>
      </c>
      <c r="F32" s="12">
        <v>44771</v>
      </c>
      <c r="G32"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4 days</v>
      </c>
      <c r="H32" s="7">
        <f ca="1">IF(education_roles[[#This Row],[End_Date]]="",TODAY()-education_roles[[#This Row],[Start_Date]],education_roles[[#This Row],[End_Date]]-education_roles[[#This Row],[Start_Date]])</f>
        <v>4</v>
      </c>
      <c r="I32" s="8">
        <f ca="1">education_roles[[#This Row],[Duration_Days]]/7</f>
        <v>0.5714285714285714</v>
      </c>
      <c r="J32" s="13"/>
    </row>
    <row r="33" spans="1:10" ht="14.25" customHeight="1" x14ac:dyDescent="0.35">
      <c r="A33" s="11" t="s">
        <v>42</v>
      </c>
      <c r="B33" s="11" t="s">
        <v>12</v>
      </c>
      <c r="C33" s="11" t="s">
        <v>19</v>
      </c>
      <c r="D33" s="11" t="s">
        <v>14</v>
      </c>
      <c r="E33" s="12">
        <v>44790</v>
      </c>
      <c r="F33" s="12">
        <v>44791</v>
      </c>
      <c r="G33"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33" s="7">
        <f ca="1">IF(education_roles[[#This Row],[End_Date]]="",TODAY()-education_roles[[#This Row],[Start_Date]],education_roles[[#This Row],[End_Date]]-education_roles[[#This Row],[Start_Date]])</f>
        <v>1</v>
      </c>
      <c r="I33" s="8">
        <f ca="1">education_roles[[#This Row],[Duration_Days]]/7</f>
        <v>0.14285714285714285</v>
      </c>
      <c r="J33" s="13"/>
    </row>
    <row r="34" spans="1:10" ht="14.25" customHeight="1" x14ac:dyDescent="0.35">
      <c r="A34" s="11" t="s">
        <v>42</v>
      </c>
      <c r="B34" s="11" t="s">
        <v>12</v>
      </c>
      <c r="C34" s="11" t="s">
        <v>19</v>
      </c>
      <c r="D34" s="11" t="s">
        <v>14</v>
      </c>
      <c r="E34" s="12">
        <v>44795</v>
      </c>
      <c r="F34" s="12">
        <v>44798</v>
      </c>
      <c r="G34"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3 days</v>
      </c>
      <c r="H34" s="7">
        <f ca="1">IF(education_roles[[#This Row],[End_Date]]="",TODAY()-education_roles[[#This Row],[Start_Date]],education_roles[[#This Row],[End_Date]]-education_roles[[#This Row],[Start_Date]])</f>
        <v>3</v>
      </c>
      <c r="I34" s="8">
        <f ca="1">education_roles[[#This Row],[Duration_Days]]/7</f>
        <v>0.42857142857142855</v>
      </c>
      <c r="J34" s="13"/>
    </row>
    <row r="35" spans="1:10" ht="14.25" customHeight="1" x14ac:dyDescent="0.35">
      <c r="A35" s="11" t="s">
        <v>42</v>
      </c>
      <c r="B35" s="11" t="s">
        <v>12</v>
      </c>
      <c r="C35" s="11" t="s">
        <v>19</v>
      </c>
      <c r="D35" s="11" t="s">
        <v>14</v>
      </c>
      <c r="E35" s="12">
        <v>44804</v>
      </c>
      <c r="F35" s="12">
        <v>44806</v>
      </c>
      <c r="G35"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2 days</v>
      </c>
      <c r="H35" s="7">
        <f ca="1">IF(education_roles[[#This Row],[End_Date]]="",TODAY()-education_roles[[#This Row],[Start_Date]],education_roles[[#This Row],[End_Date]]-education_roles[[#This Row],[Start_Date]])</f>
        <v>2</v>
      </c>
      <c r="I35" s="8">
        <f ca="1">education_roles[[#This Row],[Duration_Days]]/7</f>
        <v>0.2857142857142857</v>
      </c>
      <c r="J35" s="13"/>
    </row>
    <row r="36" spans="1:10" ht="14.25" customHeight="1" x14ac:dyDescent="0.35">
      <c r="A36" s="11" t="s">
        <v>45</v>
      </c>
      <c r="B36" s="11" t="s">
        <v>12</v>
      </c>
      <c r="C36" s="11" t="s">
        <v>15</v>
      </c>
      <c r="D36" s="11" t="s">
        <v>14</v>
      </c>
      <c r="E36" s="12">
        <v>44818</v>
      </c>
      <c r="F36" s="12">
        <v>44819</v>
      </c>
      <c r="G36"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36" s="7">
        <f ca="1">IF(education_roles[[#This Row],[End_Date]]="",TODAY()-education_roles[[#This Row],[Start_Date]],education_roles[[#This Row],[End_Date]]-education_roles[[#This Row],[Start_Date]])</f>
        <v>1</v>
      </c>
      <c r="I36" s="8">
        <f ca="1">education_roles[[#This Row],[Duration_Days]]/7</f>
        <v>0.14285714285714285</v>
      </c>
      <c r="J36" s="13"/>
    </row>
    <row r="37" spans="1:10" ht="14.25" customHeight="1" x14ac:dyDescent="0.35">
      <c r="A37" s="11" t="s">
        <v>42</v>
      </c>
      <c r="B37" s="11" t="s">
        <v>12</v>
      </c>
      <c r="C37" s="11" t="s">
        <v>19</v>
      </c>
      <c r="D37" s="11" t="s">
        <v>14</v>
      </c>
      <c r="E37" s="12">
        <v>44819</v>
      </c>
      <c r="F37" s="12">
        <v>44820</v>
      </c>
      <c r="G37"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 days</v>
      </c>
      <c r="H37" s="7">
        <f ca="1">IF(education_roles[[#This Row],[End_Date]]="",TODAY()-education_roles[[#This Row],[Start_Date]],education_roles[[#This Row],[End_Date]]-education_roles[[#This Row],[Start_Date]])</f>
        <v>1</v>
      </c>
      <c r="I37" s="8">
        <f ca="1">education_roles[[#This Row],[Duration_Days]]/7</f>
        <v>0.14285714285714285</v>
      </c>
      <c r="J37" s="13"/>
    </row>
    <row r="38" spans="1:10" ht="14.25" customHeight="1" x14ac:dyDescent="0.35">
      <c r="A38" s="11" t="s">
        <v>46</v>
      </c>
      <c r="B38" s="11" t="s">
        <v>12</v>
      </c>
      <c r="C38" s="11" t="s">
        <v>16</v>
      </c>
      <c r="D38" s="11" t="s">
        <v>14</v>
      </c>
      <c r="E38" s="12">
        <v>45349</v>
      </c>
      <c r="F38" s="12">
        <v>45365</v>
      </c>
      <c r="G38"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0 months, 16 days</v>
      </c>
      <c r="H38" s="7">
        <f ca="1">IF(education_roles[[#This Row],[End_Date]]="",TODAY()-education_roles[[#This Row],[Start_Date]],education_roles[[#This Row],[End_Date]]-education_roles[[#This Row],[Start_Date]])</f>
        <v>16</v>
      </c>
      <c r="I38" s="8">
        <f ca="1">education_roles[[#This Row],[Duration_Days]]/7</f>
        <v>2.2857142857142856</v>
      </c>
      <c r="J38" s="13"/>
    </row>
    <row r="39" spans="1:10" ht="14.25" customHeight="1" x14ac:dyDescent="0.35">
      <c r="A39" t="s">
        <v>61</v>
      </c>
      <c r="B39" t="s">
        <v>9</v>
      </c>
      <c r="C39" t="s">
        <v>23</v>
      </c>
      <c r="D39" t="s">
        <v>64</v>
      </c>
      <c r="E39" s="12">
        <v>45573</v>
      </c>
      <c r="F39" s="12">
        <v>45774</v>
      </c>
      <c r="G39"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6 months, 19 days</v>
      </c>
      <c r="H39" s="7">
        <f ca="1">IF(education_roles[[#This Row],[End_Date]]="",TODAY()-education_roles[[#This Row],[Start_Date]],education_roles[[#This Row],[End_Date]]-education_roles[[#This Row],[Start_Date]])</f>
        <v>201</v>
      </c>
      <c r="I39" s="13">
        <f ca="1">education_roles[[#This Row],[Duration_Days]]/7</f>
        <v>28.714285714285715</v>
      </c>
      <c r="J39" s="13"/>
    </row>
    <row r="40" spans="1:10" ht="14.25" customHeight="1" x14ac:dyDescent="0.35">
      <c r="A40" s="11" t="s">
        <v>48</v>
      </c>
      <c r="B40" s="11" t="s">
        <v>12</v>
      </c>
      <c r="C40" t="s">
        <v>63</v>
      </c>
      <c r="D40" s="11" t="s">
        <v>14</v>
      </c>
      <c r="E40" s="12">
        <v>45593</v>
      </c>
      <c r="F40" s="12">
        <v>45695</v>
      </c>
      <c r="G40"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3 months, 10 days</v>
      </c>
      <c r="H40" s="7">
        <f ca="1">IF(education_roles[[#This Row],[End_Date]]="",TODAY()-education_roles[[#This Row],[Start_Date]],education_roles[[#This Row],[End_Date]]-education_roles[[#This Row],[Start_Date]])</f>
        <v>102</v>
      </c>
      <c r="I40" s="8">
        <f ca="1">education_roles[[#This Row],[Duration_Days]]/7</f>
        <v>14.571428571428571</v>
      </c>
      <c r="J40" s="13"/>
    </row>
    <row r="41" spans="1:10" ht="14.25" customHeight="1" x14ac:dyDescent="0.35">
      <c r="A41" s="11" t="s">
        <v>62</v>
      </c>
      <c r="B41" s="11" t="s">
        <v>12</v>
      </c>
      <c r="C41" s="11" t="s">
        <v>16</v>
      </c>
      <c r="D41" s="11" t="s">
        <v>14</v>
      </c>
      <c r="E41" s="12">
        <v>45698</v>
      </c>
      <c r="F41" s="15">
        <v>46066</v>
      </c>
      <c r="G41" s="7" t="str">
        <f ca="1">IF(education_roles[[#This Row],[End_Date]]="",
DATEDIF(education_roles[[#This Row],[Start_Date]], TODAY(), "m") &amp; " months, " &amp; DATEDIF(education_roles[[#This Row],[Start_Date]], TODAY(), "md") &amp; " days",
DATEDIF(education_roles[[#This Row],[Start_Date]], education_roles[[#This Row],[End_Date]], "m") &amp; " months, " &amp; DATEDIF(education_roles[[#This Row],[Start_Date]], education_roles[[#This Row],[End_Date]], "md") &amp; " days")</f>
        <v>12 months, 3 days</v>
      </c>
      <c r="H41" s="7">
        <f ca="1">IF(education_roles[[#This Row],[End_Date]]="",TODAY()-education_roles[[#This Row],[Start_Date]],education_roles[[#This Row],[End_Date]]-education_roles[[#This Row],[Start_Date]])</f>
        <v>368</v>
      </c>
      <c r="I41" s="8">
        <f ca="1">education_roles[[#This Row],[Duration_Days]]/7</f>
        <v>52.571428571428569</v>
      </c>
      <c r="J41" s="13"/>
    </row>
    <row r="42" spans="1:10" ht="14.25" customHeight="1" x14ac:dyDescent="0.35">
      <c r="G42" s="7"/>
      <c r="H42" s="7"/>
      <c r="I42" s="11"/>
    </row>
    <row r="43" spans="1:10" ht="14.25" customHeight="1" x14ac:dyDescent="0.35">
      <c r="G43" s="7"/>
      <c r="H43" s="7"/>
      <c r="I43" s="11"/>
    </row>
    <row r="44" spans="1:10" ht="14.25" customHeight="1" x14ac:dyDescent="0.35">
      <c r="G44" s="7"/>
      <c r="H44" s="7"/>
      <c r="I44" s="11"/>
    </row>
    <row r="45" spans="1:10" ht="14.25" customHeight="1" x14ac:dyDescent="0.35">
      <c r="G45" s="7"/>
      <c r="H45" s="7"/>
      <c r="I45" s="11"/>
    </row>
    <row r="46" spans="1:10" ht="14.25" customHeight="1" x14ac:dyDescent="0.35">
      <c r="G46" s="7"/>
      <c r="H46" s="7"/>
      <c r="I46" s="11"/>
    </row>
    <row r="47" spans="1:10" ht="14.25" customHeight="1" x14ac:dyDescent="0.35">
      <c r="G47" s="7"/>
      <c r="H47" s="7"/>
      <c r="I47" s="11"/>
    </row>
    <row r="48" spans="1:10" ht="14.25" customHeight="1" x14ac:dyDescent="0.35">
      <c r="G48" s="7"/>
      <c r="H48" s="7"/>
      <c r="I48" s="11"/>
    </row>
    <row r="49" spans="7:9" ht="14.25" customHeight="1" x14ac:dyDescent="0.35">
      <c r="G49" s="7"/>
      <c r="H49" s="7"/>
      <c r="I49" s="11"/>
    </row>
    <row r="50" spans="7:9" ht="14.25" customHeight="1" x14ac:dyDescent="0.35">
      <c r="G50" s="7"/>
      <c r="H50" s="7"/>
      <c r="I50" s="11"/>
    </row>
    <row r="51" spans="7:9" ht="14.25" customHeight="1" x14ac:dyDescent="0.35">
      <c r="G51" s="7"/>
      <c r="H51" s="7"/>
      <c r="I51" s="11"/>
    </row>
    <row r="52" spans="7:9" ht="14.25" customHeight="1" x14ac:dyDescent="0.35">
      <c r="G52" s="7"/>
      <c r="H52" s="7"/>
      <c r="I52" s="11"/>
    </row>
    <row r="53" spans="7:9" ht="14.25" customHeight="1" x14ac:dyDescent="0.35">
      <c r="G53" s="7"/>
      <c r="H53" s="7"/>
      <c r="I53" s="11"/>
    </row>
    <row r="54" spans="7:9" ht="14.25" customHeight="1" x14ac:dyDescent="0.35">
      <c r="G54" s="7"/>
      <c r="H54" s="7"/>
      <c r="I54" s="11"/>
    </row>
    <row r="55" spans="7:9" ht="14.25" customHeight="1" x14ac:dyDescent="0.35">
      <c r="G55" s="7"/>
      <c r="H55" s="7"/>
      <c r="I55" s="11"/>
    </row>
    <row r="56" spans="7:9" ht="14.25" customHeight="1" x14ac:dyDescent="0.35">
      <c r="G56" s="7"/>
      <c r="H56" s="7"/>
      <c r="I56" s="11"/>
    </row>
    <row r="57" spans="7:9" ht="14.25" customHeight="1" x14ac:dyDescent="0.35">
      <c r="G57" s="7"/>
      <c r="H57" s="7"/>
      <c r="I57" s="11"/>
    </row>
    <row r="58" spans="7:9" ht="14.25" customHeight="1" x14ac:dyDescent="0.35">
      <c r="G58" s="7"/>
      <c r="H58" s="7"/>
      <c r="I58" s="11"/>
    </row>
    <row r="59" spans="7:9" ht="14.25" customHeight="1" x14ac:dyDescent="0.35">
      <c r="G59" s="7"/>
      <c r="H59" s="7"/>
      <c r="I59" s="11"/>
    </row>
    <row r="60" spans="7:9" ht="14.25" customHeight="1" x14ac:dyDescent="0.35">
      <c r="G60" s="7"/>
      <c r="H60" s="7"/>
      <c r="I60" s="11"/>
    </row>
    <row r="61" spans="7:9" ht="14.25" customHeight="1" x14ac:dyDescent="0.35">
      <c r="G61" s="7"/>
      <c r="H61" s="7"/>
      <c r="I61" s="11"/>
    </row>
    <row r="62" spans="7:9" ht="14.25" customHeight="1" x14ac:dyDescent="0.35">
      <c r="G62" s="7"/>
      <c r="H62" s="7"/>
      <c r="I62" s="11"/>
    </row>
    <row r="63" spans="7:9" ht="14.25" customHeight="1" x14ac:dyDescent="0.35">
      <c r="G63" s="7"/>
      <c r="H63" s="7"/>
      <c r="I63" s="11"/>
    </row>
    <row r="64" spans="7:9" ht="14.25" customHeight="1" x14ac:dyDescent="0.35">
      <c r="G64" s="7"/>
      <c r="H64" s="7"/>
      <c r="I64" s="11"/>
    </row>
    <row r="65" spans="7:9" ht="14.25" customHeight="1" x14ac:dyDescent="0.35">
      <c r="G65" s="7"/>
      <c r="H65" s="7"/>
      <c r="I65" s="11"/>
    </row>
    <row r="66" spans="7:9" ht="14.25" customHeight="1" x14ac:dyDescent="0.35">
      <c r="G66" s="7"/>
      <c r="H66" s="7"/>
      <c r="I66" s="11"/>
    </row>
    <row r="67" spans="7:9" ht="14.25" customHeight="1" x14ac:dyDescent="0.35">
      <c r="G67" s="7"/>
      <c r="H67" s="7"/>
      <c r="I67" s="11"/>
    </row>
    <row r="68" spans="7:9" ht="14.25" customHeight="1" x14ac:dyDescent="0.35">
      <c r="G68" s="7"/>
      <c r="H68" s="7"/>
      <c r="I68" s="11"/>
    </row>
    <row r="69" spans="7:9" ht="14.25" customHeight="1" x14ac:dyDescent="0.35">
      <c r="G69" s="7"/>
      <c r="H69" s="7"/>
      <c r="I69" s="11"/>
    </row>
    <row r="70" spans="7:9" ht="14.25" customHeight="1" x14ac:dyDescent="0.35">
      <c r="G70" s="7"/>
      <c r="H70" s="7"/>
      <c r="I70" s="11"/>
    </row>
    <row r="71" spans="7:9" ht="14.25" customHeight="1" x14ac:dyDescent="0.35">
      <c r="G71" s="7"/>
      <c r="H71" s="7"/>
      <c r="I71" s="11"/>
    </row>
    <row r="72" spans="7:9" ht="14.25" customHeight="1" x14ac:dyDescent="0.35">
      <c r="G72" s="7"/>
      <c r="H72" s="7"/>
      <c r="I72" s="11"/>
    </row>
    <row r="73" spans="7:9" ht="14.25" customHeight="1" x14ac:dyDescent="0.35">
      <c r="G73" s="7"/>
      <c r="H73" s="7"/>
      <c r="I73" s="11"/>
    </row>
    <row r="74" spans="7:9" ht="14.25" customHeight="1" x14ac:dyDescent="0.35">
      <c r="G74" s="7"/>
      <c r="H74" s="7"/>
      <c r="I74" s="11"/>
    </row>
    <row r="75" spans="7:9" ht="14.25" customHeight="1" x14ac:dyDescent="0.35">
      <c r="G75" s="7"/>
      <c r="H75" s="7"/>
      <c r="I75" s="11"/>
    </row>
    <row r="76" spans="7:9" ht="14.25" customHeight="1" x14ac:dyDescent="0.35">
      <c r="G76" s="7"/>
      <c r="H76" s="7"/>
      <c r="I76" s="11"/>
    </row>
    <row r="77" spans="7:9" ht="14.25" customHeight="1" x14ac:dyDescent="0.35">
      <c r="G77" s="7"/>
      <c r="H77" s="7"/>
      <c r="I77" s="11"/>
    </row>
    <row r="78" spans="7:9" ht="14.25" customHeight="1" x14ac:dyDescent="0.35">
      <c r="G78" s="7"/>
      <c r="H78" s="7"/>
      <c r="I78" s="11"/>
    </row>
    <row r="79" spans="7:9" ht="14.25" customHeight="1" x14ac:dyDescent="0.35">
      <c r="G79" s="7"/>
      <c r="H79" s="7"/>
      <c r="I79" s="11"/>
    </row>
    <row r="80" spans="7:9" ht="14.25" customHeight="1" x14ac:dyDescent="0.35">
      <c r="G80" s="7"/>
      <c r="H80" s="7"/>
      <c r="I80" s="11"/>
    </row>
    <row r="81" spans="7:9" ht="14.25" customHeight="1" x14ac:dyDescent="0.35">
      <c r="G81" s="7"/>
      <c r="H81" s="7"/>
      <c r="I81" s="11"/>
    </row>
    <row r="82" spans="7:9" ht="14.25" customHeight="1" x14ac:dyDescent="0.35">
      <c r="G82" s="7"/>
      <c r="H82" s="7"/>
      <c r="I82" s="11"/>
    </row>
    <row r="83" spans="7:9" ht="14.25" customHeight="1" x14ac:dyDescent="0.35">
      <c r="G83" s="7"/>
      <c r="H83" s="7"/>
      <c r="I83" s="11"/>
    </row>
    <row r="84" spans="7:9" ht="14.25" customHeight="1" x14ac:dyDescent="0.35">
      <c r="G84" s="7"/>
      <c r="H84" s="7"/>
      <c r="I84" s="11"/>
    </row>
    <row r="85" spans="7:9" ht="14.25" customHeight="1" x14ac:dyDescent="0.35">
      <c r="G85" s="7"/>
      <c r="H85" s="7"/>
      <c r="I85" s="11"/>
    </row>
    <row r="86" spans="7:9" ht="14.25" customHeight="1" x14ac:dyDescent="0.35">
      <c r="G86" s="7"/>
      <c r="H86" s="7"/>
      <c r="I86" s="11"/>
    </row>
    <row r="87" spans="7:9" ht="14.25" customHeight="1" x14ac:dyDescent="0.35">
      <c r="G87" s="7"/>
      <c r="H87" s="7"/>
      <c r="I87" s="11"/>
    </row>
    <row r="88" spans="7:9" ht="14.25" customHeight="1" x14ac:dyDescent="0.35">
      <c r="G88" s="7"/>
      <c r="H88" s="7"/>
      <c r="I88" s="11"/>
    </row>
    <row r="89" spans="7:9" ht="14.25" customHeight="1" x14ac:dyDescent="0.35">
      <c r="G89" s="7"/>
      <c r="H89" s="7"/>
      <c r="I89" s="11"/>
    </row>
    <row r="90" spans="7:9" ht="14.25" customHeight="1" x14ac:dyDescent="0.35">
      <c r="G90" s="7"/>
      <c r="H90" s="7"/>
      <c r="I90" s="11"/>
    </row>
    <row r="91" spans="7:9" ht="14.25" customHeight="1" x14ac:dyDescent="0.35">
      <c r="G91" s="7"/>
      <c r="H91" s="7"/>
      <c r="I91" s="11"/>
    </row>
    <row r="92" spans="7:9" ht="14.25" customHeight="1" x14ac:dyDescent="0.35">
      <c r="G92" s="7"/>
      <c r="H92" s="7"/>
      <c r="I92" s="11"/>
    </row>
    <row r="93" spans="7:9" ht="14.25" customHeight="1" x14ac:dyDescent="0.35">
      <c r="G93" s="7"/>
      <c r="H93" s="7"/>
      <c r="I93" s="11"/>
    </row>
    <row r="94" spans="7:9" ht="14.25" customHeight="1" x14ac:dyDescent="0.35">
      <c r="G94" s="7"/>
      <c r="H94" s="7"/>
      <c r="I94" s="11"/>
    </row>
    <row r="95" spans="7:9" ht="14.25" customHeight="1" x14ac:dyDescent="0.35">
      <c r="G95" s="7"/>
      <c r="H95" s="7"/>
      <c r="I95" s="11"/>
    </row>
    <row r="96" spans="7:9" ht="14.25" customHeight="1" x14ac:dyDescent="0.35">
      <c r="G96" s="7"/>
      <c r="H96" s="7"/>
      <c r="I96" s="11"/>
    </row>
    <row r="97" spans="7:9" ht="14.25" customHeight="1" x14ac:dyDescent="0.35">
      <c r="G97" s="7"/>
      <c r="H97" s="7"/>
      <c r="I97" s="11"/>
    </row>
    <row r="98" spans="7:9" ht="14.25" customHeight="1" x14ac:dyDescent="0.35">
      <c r="G98" s="7"/>
      <c r="H98" s="7"/>
      <c r="I98" s="11"/>
    </row>
    <row r="99" spans="7:9" ht="14.25" customHeight="1" x14ac:dyDescent="0.35">
      <c r="G99" s="7"/>
      <c r="H99" s="7"/>
      <c r="I99" s="11"/>
    </row>
    <row r="100" spans="7:9" ht="14.25" customHeight="1" x14ac:dyDescent="0.35">
      <c r="G100" s="7"/>
      <c r="H100" s="7"/>
      <c r="I100" s="11"/>
    </row>
    <row r="101" spans="7:9" ht="14.25" customHeight="1" x14ac:dyDescent="0.35">
      <c r="G101" s="7"/>
      <c r="H101" s="7"/>
      <c r="I101" s="11"/>
    </row>
    <row r="102" spans="7:9" ht="14.25" customHeight="1" x14ac:dyDescent="0.35">
      <c r="G102" s="7"/>
      <c r="H102" s="7"/>
      <c r="I102" s="11"/>
    </row>
    <row r="103" spans="7:9" ht="14.25" customHeight="1" x14ac:dyDescent="0.35">
      <c r="G103" s="7"/>
      <c r="H103" s="7"/>
      <c r="I103" s="11"/>
    </row>
    <row r="104" spans="7:9" ht="14.25" customHeight="1" x14ac:dyDescent="0.35">
      <c r="G104" s="7"/>
      <c r="H104" s="7"/>
      <c r="I104" s="11"/>
    </row>
    <row r="105" spans="7:9" ht="14.25" customHeight="1" x14ac:dyDescent="0.35">
      <c r="G105" s="7"/>
      <c r="H105" s="7"/>
      <c r="I105" s="11"/>
    </row>
    <row r="106" spans="7:9" ht="14.25" customHeight="1" x14ac:dyDescent="0.35">
      <c r="G106" s="7"/>
      <c r="H106" s="7"/>
      <c r="I106" s="11"/>
    </row>
    <row r="107" spans="7:9" ht="14.25" customHeight="1" x14ac:dyDescent="0.35">
      <c r="G107" s="7"/>
      <c r="H107" s="7"/>
      <c r="I107" s="11"/>
    </row>
    <row r="108" spans="7:9" ht="14.25" customHeight="1" x14ac:dyDescent="0.35">
      <c r="G108" s="7"/>
      <c r="H108" s="7"/>
      <c r="I108" s="11"/>
    </row>
    <row r="109" spans="7:9" ht="14.25" customHeight="1" x14ac:dyDescent="0.35">
      <c r="G109" s="7"/>
      <c r="H109" s="7"/>
      <c r="I109" s="11"/>
    </row>
    <row r="110" spans="7:9" ht="14.25" customHeight="1" x14ac:dyDescent="0.35">
      <c r="G110" s="7"/>
      <c r="H110" s="7"/>
      <c r="I110" s="11"/>
    </row>
    <row r="111" spans="7:9" ht="14.25" customHeight="1" x14ac:dyDescent="0.35">
      <c r="G111" s="7"/>
      <c r="H111" s="7"/>
      <c r="I111" s="11"/>
    </row>
    <row r="112" spans="7:9" ht="14.25" customHeight="1" x14ac:dyDescent="0.35">
      <c r="G112" s="7"/>
      <c r="H112" s="7"/>
      <c r="I112" s="11"/>
    </row>
    <row r="113" spans="7:9" ht="14.25" customHeight="1" x14ac:dyDescent="0.35">
      <c r="G113" s="7"/>
      <c r="H113" s="7"/>
      <c r="I113" s="11"/>
    </row>
    <row r="114" spans="7:9" ht="14.25" customHeight="1" x14ac:dyDescent="0.35">
      <c r="G114" s="7"/>
      <c r="H114" s="7"/>
      <c r="I114" s="11"/>
    </row>
    <row r="115" spans="7:9" ht="14.25" customHeight="1" x14ac:dyDescent="0.35">
      <c r="G115" s="7"/>
      <c r="H115" s="7"/>
      <c r="I115" s="11"/>
    </row>
    <row r="116" spans="7:9" ht="14.25" customHeight="1" x14ac:dyDescent="0.35">
      <c r="G116" s="7"/>
      <c r="H116" s="7"/>
      <c r="I116" s="11"/>
    </row>
    <row r="117" spans="7:9" ht="14.25" customHeight="1" x14ac:dyDescent="0.35">
      <c r="G117" s="7"/>
      <c r="H117" s="7"/>
      <c r="I117" s="11"/>
    </row>
    <row r="118" spans="7:9" ht="14.25" customHeight="1" x14ac:dyDescent="0.35">
      <c r="G118" s="7"/>
      <c r="H118" s="7"/>
      <c r="I118" s="11"/>
    </row>
    <row r="119" spans="7:9" ht="14.25" customHeight="1" x14ac:dyDescent="0.35">
      <c r="G119" s="7"/>
      <c r="H119" s="7"/>
      <c r="I119" s="11"/>
    </row>
    <row r="120" spans="7:9" ht="14.25" customHeight="1" x14ac:dyDescent="0.35">
      <c r="G120" s="7"/>
      <c r="H120" s="7"/>
      <c r="I120" s="11"/>
    </row>
    <row r="121" spans="7:9" ht="14.25" customHeight="1" x14ac:dyDescent="0.35">
      <c r="G121" s="7"/>
      <c r="H121" s="7"/>
      <c r="I121" s="11"/>
    </row>
    <row r="122" spans="7:9" ht="14.25" customHeight="1" x14ac:dyDescent="0.35">
      <c r="G122" s="7"/>
      <c r="H122" s="7"/>
      <c r="I122" s="11"/>
    </row>
    <row r="123" spans="7:9" ht="14.25" customHeight="1" x14ac:dyDescent="0.35">
      <c r="G123" s="7"/>
      <c r="H123" s="7"/>
      <c r="I123" s="11"/>
    </row>
    <row r="124" spans="7:9" ht="14.25" customHeight="1" x14ac:dyDescent="0.35">
      <c r="G124" s="7"/>
      <c r="H124" s="7"/>
      <c r="I124" s="11"/>
    </row>
    <row r="125" spans="7:9" ht="14.25" customHeight="1" x14ac:dyDescent="0.35">
      <c r="G125" s="7"/>
      <c r="H125" s="7"/>
      <c r="I125" s="11"/>
    </row>
    <row r="126" spans="7:9" ht="14.25" customHeight="1" x14ac:dyDescent="0.35">
      <c r="G126" s="7"/>
      <c r="H126" s="7"/>
      <c r="I126" s="11"/>
    </row>
    <row r="127" spans="7:9" ht="14.25" customHeight="1" x14ac:dyDescent="0.35">
      <c r="G127" s="7"/>
      <c r="H127" s="7"/>
      <c r="I127" s="11"/>
    </row>
    <row r="128" spans="7:9" ht="14.25" customHeight="1" x14ac:dyDescent="0.35">
      <c r="G128" s="7"/>
      <c r="H128" s="7"/>
      <c r="I128" s="11"/>
    </row>
    <row r="129" spans="7:9" ht="14.25" customHeight="1" x14ac:dyDescent="0.35">
      <c r="G129" s="7"/>
      <c r="H129" s="7"/>
      <c r="I129" s="11"/>
    </row>
    <row r="130" spans="7:9" ht="14.25" customHeight="1" x14ac:dyDescent="0.35">
      <c r="G130" s="7"/>
      <c r="H130" s="7"/>
      <c r="I130" s="11"/>
    </row>
    <row r="131" spans="7:9" ht="14.25" customHeight="1" x14ac:dyDescent="0.35">
      <c r="G131" s="7"/>
      <c r="H131" s="7"/>
      <c r="I131" s="11"/>
    </row>
    <row r="132" spans="7:9" ht="14.25" customHeight="1" x14ac:dyDescent="0.35">
      <c r="G132" s="7"/>
      <c r="H132" s="7"/>
      <c r="I132" s="11"/>
    </row>
    <row r="133" spans="7:9" ht="14.25" customHeight="1" x14ac:dyDescent="0.35">
      <c r="G133" s="7"/>
      <c r="H133" s="7"/>
      <c r="I133" s="11"/>
    </row>
    <row r="134" spans="7:9" ht="14.25" customHeight="1" x14ac:dyDescent="0.35">
      <c r="G134" s="7"/>
      <c r="H134" s="7"/>
      <c r="I134" s="11"/>
    </row>
    <row r="135" spans="7:9" ht="14.25" customHeight="1" x14ac:dyDescent="0.35">
      <c r="G135" s="7"/>
      <c r="H135" s="7"/>
      <c r="I135" s="11"/>
    </row>
    <row r="136" spans="7:9" ht="14.25" customHeight="1" x14ac:dyDescent="0.35">
      <c r="G136" s="7"/>
      <c r="H136" s="7"/>
      <c r="I136" s="11"/>
    </row>
    <row r="137" spans="7:9" ht="14.25" customHeight="1" x14ac:dyDescent="0.35">
      <c r="G137" s="7"/>
      <c r="H137" s="7"/>
      <c r="I137" s="11"/>
    </row>
    <row r="138" spans="7:9" ht="14.25" customHeight="1" x14ac:dyDescent="0.35">
      <c r="G138" s="7"/>
      <c r="H138" s="7"/>
      <c r="I138" s="11"/>
    </row>
    <row r="139" spans="7:9" ht="14.25" customHeight="1" x14ac:dyDescent="0.35">
      <c r="G139" s="7"/>
      <c r="H139" s="7"/>
      <c r="I139" s="11"/>
    </row>
    <row r="140" spans="7:9" ht="14.25" customHeight="1" x14ac:dyDescent="0.35">
      <c r="G140" s="7"/>
      <c r="H140" s="7"/>
      <c r="I140" s="11"/>
    </row>
    <row r="141" spans="7:9" ht="14.25" customHeight="1" x14ac:dyDescent="0.35">
      <c r="G141" s="7"/>
      <c r="H141" s="7"/>
      <c r="I141" s="11"/>
    </row>
    <row r="142" spans="7:9" ht="14.25" customHeight="1" x14ac:dyDescent="0.35">
      <c r="G142" s="7"/>
      <c r="H142" s="7"/>
      <c r="I142" s="11"/>
    </row>
    <row r="143" spans="7:9" ht="14.25" customHeight="1" x14ac:dyDescent="0.35">
      <c r="G143" s="7"/>
      <c r="H143" s="7"/>
      <c r="I143" s="11"/>
    </row>
    <row r="144" spans="7:9" ht="14.25" customHeight="1" x14ac:dyDescent="0.35">
      <c r="G144" s="7"/>
      <c r="H144" s="7"/>
      <c r="I144" s="11"/>
    </row>
    <row r="145" spans="7:9" ht="14.25" customHeight="1" x14ac:dyDescent="0.35">
      <c r="G145" s="7"/>
      <c r="H145" s="7"/>
      <c r="I145" s="11"/>
    </row>
    <row r="146" spans="7:9" ht="14.25" customHeight="1" x14ac:dyDescent="0.35">
      <c r="G146" s="7"/>
      <c r="H146" s="7"/>
      <c r="I146" s="11"/>
    </row>
    <row r="147" spans="7:9" ht="14.25" customHeight="1" x14ac:dyDescent="0.35">
      <c r="G147" s="7"/>
      <c r="H147" s="7"/>
      <c r="I147" s="11"/>
    </row>
    <row r="148" spans="7:9" ht="14.25" customHeight="1" x14ac:dyDescent="0.35">
      <c r="G148" s="7"/>
      <c r="H148" s="7"/>
      <c r="I148" s="11"/>
    </row>
    <row r="149" spans="7:9" ht="14.25" customHeight="1" x14ac:dyDescent="0.35">
      <c r="G149" s="7"/>
      <c r="H149" s="7"/>
      <c r="I149" s="11"/>
    </row>
    <row r="150" spans="7:9" ht="14.25" customHeight="1" x14ac:dyDescent="0.35">
      <c r="G150" s="7"/>
      <c r="H150" s="7"/>
      <c r="I150" s="11"/>
    </row>
    <row r="151" spans="7:9" ht="14.25" customHeight="1" x14ac:dyDescent="0.35">
      <c r="G151" s="7"/>
      <c r="H151" s="7"/>
      <c r="I151" s="11"/>
    </row>
    <row r="152" spans="7:9" ht="14.25" customHeight="1" x14ac:dyDescent="0.35">
      <c r="G152" s="7"/>
      <c r="H152" s="7"/>
      <c r="I152" s="11"/>
    </row>
    <row r="153" spans="7:9" ht="14.25" customHeight="1" x14ac:dyDescent="0.35">
      <c r="G153" s="7"/>
      <c r="H153" s="7"/>
      <c r="I153" s="11"/>
    </row>
    <row r="154" spans="7:9" ht="14.25" customHeight="1" x14ac:dyDescent="0.35">
      <c r="G154" s="7"/>
      <c r="H154" s="7"/>
      <c r="I154" s="11"/>
    </row>
    <row r="155" spans="7:9" ht="14.25" customHeight="1" x14ac:dyDescent="0.35">
      <c r="G155" s="7"/>
      <c r="H155" s="7"/>
      <c r="I155" s="11"/>
    </row>
    <row r="156" spans="7:9" ht="14.25" customHeight="1" x14ac:dyDescent="0.35">
      <c r="G156" s="7"/>
      <c r="H156" s="7"/>
      <c r="I156" s="11"/>
    </row>
    <row r="157" spans="7:9" ht="14.25" customHeight="1" x14ac:dyDescent="0.35">
      <c r="G157" s="7"/>
      <c r="H157" s="7"/>
      <c r="I157" s="11"/>
    </row>
    <row r="158" spans="7:9" ht="14.25" customHeight="1" x14ac:dyDescent="0.35">
      <c r="G158" s="7"/>
      <c r="H158" s="7"/>
      <c r="I158" s="11"/>
    </row>
    <row r="159" spans="7:9" ht="14.25" customHeight="1" x14ac:dyDescent="0.35">
      <c r="G159" s="7"/>
      <c r="H159" s="7"/>
      <c r="I159" s="11"/>
    </row>
    <row r="160" spans="7:9" ht="14.25" customHeight="1" x14ac:dyDescent="0.35">
      <c r="G160" s="7"/>
      <c r="H160" s="7"/>
      <c r="I160" s="11"/>
    </row>
    <row r="161" spans="7:9" ht="14.25" customHeight="1" x14ac:dyDescent="0.35">
      <c r="G161" s="7"/>
      <c r="H161" s="7"/>
      <c r="I161" s="11"/>
    </row>
    <row r="162" spans="7:9" ht="14.25" customHeight="1" x14ac:dyDescent="0.35">
      <c r="G162" s="7"/>
      <c r="H162" s="7"/>
      <c r="I162" s="11"/>
    </row>
    <row r="163" spans="7:9" ht="14.25" customHeight="1" x14ac:dyDescent="0.35">
      <c r="G163" s="7"/>
      <c r="H163" s="7"/>
      <c r="I163" s="11"/>
    </row>
    <row r="164" spans="7:9" ht="14.25" customHeight="1" x14ac:dyDescent="0.35">
      <c r="G164" s="7"/>
      <c r="H164" s="7"/>
      <c r="I164" s="11"/>
    </row>
    <row r="165" spans="7:9" ht="14.25" customHeight="1" x14ac:dyDescent="0.35">
      <c r="G165" s="7"/>
      <c r="H165" s="7"/>
      <c r="I165" s="11"/>
    </row>
    <row r="166" spans="7:9" ht="14.25" customHeight="1" x14ac:dyDescent="0.35">
      <c r="G166" s="7"/>
      <c r="H166" s="7"/>
      <c r="I166" s="11"/>
    </row>
    <row r="167" spans="7:9" ht="14.25" customHeight="1" x14ac:dyDescent="0.35">
      <c r="G167" s="7"/>
      <c r="H167" s="7"/>
      <c r="I167" s="11"/>
    </row>
    <row r="168" spans="7:9" ht="14.25" customHeight="1" x14ac:dyDescent="0.35">
      <c r="G168" s="7"/>
      <c r="H168" s="7"/>
      <c r="I168" s="11"/>
    </row>
    <row r="169" spans="7:9" ht="14.25" customHeight="1" x14ac:dyDescent="0.35">
      <c r="G169" s="7"/>
      <c r="H169" s="7"/>
      <c r="I169" s="11"/>
    </row>
    <row r="170" spans="7:9" ht="14.25" customHeight="1" x14ac:dyDescent="0.35">
      <c r="G170" s="7"/>
      <c r="H170" s="7"/>
      <c r="I170" s="11"/>
    </row>
    <row r="171" spans="7:9" ht="14.25" customHeight="1" x14ac:dyDescent="0.35">
      <c r="G171" s="7"/>
      <c r="H171" s="7"/>
      <c r="I171" s="11"/>
    </row>
    <row r="172" spans="7:9" ht="14.25" customHeight="1" x14ac:dyDescent="0.35">
      <c r="G172" s="7"/>
      <c r="H172" s="7"/>
      <c r="I172" s="11"/>
    </row>
    <row r="173" spans="7:9" ht="14.25" customHeight="1" x14ac:dyDescent="0.35">
      <c r="G173" s="7"/>
      <c r="H173" s="7"/>
      <c r="I173" s="11"/>
    </row>
    <row r="174" spans="7:9" ht="14.25" customHeight="1" x14ac:dyDescent="0.35">
      <c r="G174" s="7"/>
      <c r="H174" s="7"/>
      <c r="I174" s="11"/>
    </row>
    <row r="175" spans="7:9" ht="14.25" customHeight="1" x14ac:dyDescent="0.35">
      <c r="G175" s="7"/>
      <c r="H175" s="7"/>
      <c r="I175" s="11"/>
    </row>
    <row r="176" spans="7:9" ht="14.25" customHeight="1" x14ac:dyDescent="0.35">
      <c r="G176" s="7"/>
      <c r="H176" s="7"/>
      <c r="I176" s="11"/>
    </row>
    <row r="177" spans="7:9" ht="14.25" customHeight="1" x14ac:dyDescent="0.35">
      <c r="G177" s="7"/>
      <c r="H177" s="7"/>
      <c r="I177" s="11"/>
    </row>
    <row r="178" spans="7:9" ht="14.25" customHeight="1" x14ac:dyDescent="0.35">
      <c r="G178" s="7"/>
      <c r="H178" s="7"/>
      <c r="I178" s="11"/>
    </row>
    <row r="179" spans="7:9" ht="14.25" customHeight="1" x14ac:dyDescent="0.35">
      <c r="G179" s="7"/>
      <c r="H179" s="7"/>
      <c r="I179" s="11"/>
    </row>
    <row r="180" spans="7:9" ht="14.25" customHeight="1" x14ac:dyDescent="0.35">
      <c r="G180" s="7"/>
      <c r="H180" s="7"/>
      <c r="I180" s="11"/>
    </row>
    <row r="181" spans="7:9" ht="14.25" customHeight="1" x14ac:dyDescent="0.35">
      <c r="G181" s="7"/>
      <c r="H181" s="7"/>
      <c r="I181" s="11"/>
    </row>
    <row r="182" spans="7:9" ht="14.25" customHeight="1" x14ac:dyDescent="0.35">
      <c r="G182" s="7"/>
      <c r="H182" s="7"/>
      <c r="I182" s="11"/>
    </row>
    <row r="183" spans="7:9" ht="14.25" customHeight="1" x14ac:dyDescent="0.35">
      <c r="G183" s="7"/>
      <c r="H183" s="7"/>
      <c r="I183" s="11"/>
    </row>
    <row r="184" spans="7:9" ht="14.25" customHeight="1" x14ac:dyDescent="0.35">
      <c r="G184" s="7"/>
      <c r="H184" s="7"/>
      <c r="I184" s="11"/>
    </row>
    <row r="185" spans="7:9" ht="14.25" customHeight="1" x14ac:dyDescent="0.35">
      <c r="G185" s="7"/>
      <c r="H185" s="7"/>
      <c r="I185" s="11"/>
    </row>
    <row r="186" spans="7:9" ht="14.25" customHeight="1" x14ac:dyDescent="0.35">
      <c r="G186" s="7"/>
      <c r="H186" s="7"/>
      <c r="I186" s="11"/>
    </row>
    <row r="187" spans="7:9" ht="14.25" customHeight="1" x14ac:dyDescent="0.35">
      <c r="G187" s="7"/>
      <c r="H187" s="7"/>
      <c r="I187" s="11"/>
    </row>
    <row r="188" spans="7:9" ht="14.25" customHeight="1" x14ac:dyDescent="0.35">
      <c r="G188" s="7"/>
      <c r="H188" s="7"/>
      <c r="I188" s="11"/>
    </row>
    <row r="189" spans="7:9" ht="14.25" customHeight="1" x14ac:dyDescent="0.35">
      <c r="G189" s="7"/>
      <c r="H189" s="7"/>
      <c r="I189" s="11"/>
    </row>
    <row r="190" spans="7:9" ht="14.25" customHeight="1" x14ac:dyDescent="0.35">
      <c r="G190" s="7"/>
      <c r="H190" s="7"/>
      <c r="I190" s="11"/>
    </row>
    <row r="191" spans="7:9" ht="14.25" customHeight="1" x14ac:dyDescent="0.35">
      <c r="G191" s="7"/>
      <c r="H191" s="7"/>
      <c r="I191" s="11"/>
    </row>
    <row r="192" spans="7:9" ht="14.25" customHeight="1" x14ac:dyDescent="0.35">
      <c r="G192" s="7"/>
      <c r="H192" s="7"/>
      <c r="I192" s="11"/>
    </row>
    <row r="193" spans="7:9" ht="14.25" customHeight="1" x14ac:dyDescent="0.35">
      <c r="G193" s="7"/>
      <c r="H193" s="7"/>
      <c r="I193" s="11"/>
    </row>
    <row r="194" spans="7:9" ht="14.25" customHeight="1" x14ac:dyDescent="0.35">
      <c r="G194" s="7"/>
      <c r="H194" s="7"/>
      <c r="I194" s="11"/>
    </row>
    <row r="195" spans="7:9" ht="14.25" customHeight="1" x14ac:dyDescent="0.35">
      <c r="G195" s="7"/>
      <c r="H195" s="7"/>
      <c r="I195" s="11"/>
    </row>
    <row r="196" spans="7:9" ht="14.25" customHeight="1" x14ac:dyDescent="0.35">
      <c r="G196" s="7"/>
      <c r="H196" s="7"/>
      <c r="I196" s="11"/>
    </row>
    <row r="197" spans="7:9" ht="14.25" customHeight="1" x14ac:dyDescent="0.35">
      <c r="G197" s="7"/>
      <c r="H197" s="7"/>
      <c r="I197" s="11"/>
    </row>
    <row r="198" spans="7:9" ht="14.25" customHeight="1" x14ac:dyDescent="0.35">
      <c r="G198" s="7"/>
      <c r="H198" s="7"/>
      <c r="I198" s="11"/>
    </row>
    <row r="199" spans="7:9" ht="14.25" customHeight="1" x14ac:dyDescent="0.35">
      <c r="G199" s="7"/>
      <c r="H199" s="7"/>
      <c r="I199" s="11"/>
    </row>
    <row r="200" spans="7:9" ht="14.25" customHeight="1" x14ac:dyDescent="0.35">
      <c r="G200" s="7"/>
      <c r="H200" s="7"/>
      <c r="I200" s="11"/>
    </row>
    <row r="201" spans="7:9" ht="14.25" customHeight="1" x14ac:dyDescent="0.35">
      <c r="G201" s="7"/>
      <c r="H201" s="7"/>
      <c r="I201" s="11"/>
    </row>
    <row r="202" spans="7:9" ht="14.25" customHeight="1" x14ac:dyDescent="0.35">
      <c r="G202" s="7"/>
      <c r="H202" s="7"/>
      <c r="I202" s="11"/>
    </row>
    <row r="203" spans="7:9" ht="14.25" customHeight="1" x14ac:dyDescent="0.35">
      <c r="G203" s="7"/>
      <c r="H203" s="7"/>
      <c r="I203" s="11"/>
    </row>
    <row r="204" spans="7:9" ht="14.25" customHeight="1" x14ac:dyDescent="0.35">
      <c r="G204" s="7"/>
      <c r="H204" s="7"/>
      <c r="I204" s="11"/>
    </row>
    <row r="205" spans="7:9" ht="14.25" customHeight="1" x14ac:dyDescent="0.35">
      <c r="G205" s="7"/>
      <c r="H205" s="7"/>
      <c r="I205" s="11"/>
    </row>
    <row r="206" spans="7:9" ht="14.25" customHeight="1" x14ac:dyDescent="0.35">
      <c r="G206" s="7"/>
      <c r="H206" s="7"/>
      <c r="I206" s="11"/>
    </row>
    <row r="207" spans="7:9" ht="14.25" customHeight="1" x14ac:dyDescent="0.35">
      <c r="G207" s="7"/>
      <c r="H207" s="7"/>
      <c r="I207" s="11"/>
    </row>
    <row r="208" spans="7:9" ht="14.25" customHeight="1" x14ac:dyDescent="0.35">
      <c r="G208" s="7"/>
      <c r="H208" s="7"/>
      <c r="I208" s="11"/>
    </row>
    <row r="209" spans="7:9" ht="14.25" customHeight="1" x14ac:dyDescent="0.35">
      <c r="G209" s="7"/>
      <c r="H209" s="7"/>
      <c r="I209" s="11"/>
    </row>
    <row r="210" spans="7:9" ht="14.25" customHeight="1" x14ac:dyDescent="0.35">
      <c r="G210" s="7"/>
      <c r="H210" s="7"/>
      <c r="I210" s="11"/>
    </row>
    <row r="211" spans="7:9" ht="14.25" customHeight="1" x14ac:dyDescent="0.35">
      <c r="G211" s="7"/>
      <c r="H211" s="7"/>
      <c r="I211" s="11"/>
    </row>
    <row r="212" spans="7:9" ht="14.25" customHeight="1" x14ac:dyDescent="0.35">
      <c r="G212" s="7"/>
      <c r="H212" s="7"/>
      <c r="I212" s="11"/>
    </row>
    <row r="213" spans="7:9" ht="14.25" customHeight="1" x14ac:dyDescent="0.35">
      <c r="G213" s="7"/>
      <c r="H213" s="7"/>
      <c r="I213" s="11"/>
    </row>
    <row r="214" spans="7:9" ht="14.25" customHeight="1" x14ac:dyDescent="0.35">
      <c r="G214" s="7"/>
      <c r="H214" s="7"/>
      <c r="I214" s="11"/>
    </row>
    <row r="215" spans="7:9" ht="14.25" customHeight="1" x14ac:dyDescent="0.35">
      <c r="G215" s="7"/>
      <c r="H215" s="7"/>
      <c r="I215" s="11"/>
    </row>
    <row r="216" spans="7:9" ht="14.25" customHeight="1" x14ac:dyDescent="0.35">
      <c r="G216" s="7"/>
      <c r="H216" s="7"/>
      <c r="I216" s="11"/>
    </row>
    <row r="217" spans="7:9" ht="14.25" customHeight="1" x14ac:dyDescent="0.35">
      <c r="G217" s="7"/>
      <c r="H217" s="7"/>
      <c r="I217" s="11"/>
    </row>
    <row r="218" spans="7:9" ht="14.25" customHeight="1" x14ac:dyDescent="0.35">
      <c r="G218" s="7"/>
      <c r="H218" s="7"/>
      <c r="I218" s="11"/>
    </row>
    <row r="219" spans="7:9" ht="14.25" customHeight="1" x14ac:dyDescent="0.35">
      <c r="G219" s="7"/>
      <c r="H219" s="7"/>
      <c r="I219" s="11"/>
    </row>
    <row r="220" spans="7:9" ht="14.25" customHeight="1" x14ac:dyDescent="0.35">
      <c r="G220" s="7"/>
      <c r="H220" s="7"/>
      <c r="I220" s="11"/>
    </row>
    <row r="221" spans="7:9" ht="14.25" customHeight="1" x14ac:dyDescent="0.35">
      <c r="G221" s="7"/>
      <c r="H221" s="7"/>
      <c r="I221" s="11"/>
    </row>
    <row r="222" spans="7:9" ht="14.25" customHeight="1" x14ac:dyDescent="0.35">
      <c r="G222" s="7"/>
      <c r="H222" s="7"/>
      <c r="I222" s="11"/>
    </row>
    <row r="223" spans="7:9" ht="14.25" customHeight="1" x14ac:dyDescent="0.35">
      <c r="G223" s="7"/>
      <c r="H223" s="7"/>
      <c r="I223" s="11"/>
    </row>
    <row r="224" spans="7:9" ht="14.25" customHeight="1" x14ac:dyDescent="0.35">
      <c r="G224" s="7"/>
      <c r="H224" s="7"/>
      <c r="I224" s="11"/>
    </row>
    <row r="225" spans="7:9" ht="14.25" customHeight="1" x14ac:dyDescent="0.35">
      <c r="G225" s="7"/>
      <c r="H225" s="7"/>
      <c r="I225" s="11"/>
    </row>
    <row r="226" spans="7:9" ht="14.25" customHeight="1" x14ac:dyDescent="0.35">
      <c r="G226" s="7"/>
      <c r="H226" s="7"/>
      <c r="I226" s="11"/>
    </row>
    <row r="227" spans="7:9" ht="14.25" customHeight="1" x14ac:dyDescent="0.35">
      <c r="G227" s="7"/>
      <c r="H227" s="7"/>
      <c r="I227" s="11"/>
    </row>
    <row r="228" spans="7:9" ht="14.25" customHeight="1" x14ac:dyDescent="0.35">
      <c r="G228" s="7"/>
      <c r="H228" s="7"/>
      <c r="I228" s="11"/>
    </row>
    <row r="229" spans="7:9" ht="14.25" customHeight="1" x14ac:dyDescent="0.35">
      <c r="G229" s="7"/>
      <c r="H229" s="7"/>
      <c r="I229" s="11"/>
    </row>
    <row r="230" spans="7:9" ht="14.25" customHeight="1" x14ac:dyDescent="0.35">
      <c r="G230" s="7"/>
      <c r="H230" s="7"/>
      <c r="I230" s="11"/>
    </row>
    <row r="231" spans="7:9" ht="14.25" customHeight="1" x14ac:dyDescent="0.35">
      <c r="G231" s="7"/>
      <c r="H231" s="7"/>
      <c r="I231" s="11"/>
    </row>
    <row r="232" spans="7:9" ht="14.25" customHeight="1" x14ac:dyDescent="0.35">
      <c r="G232" s="7"/>
      <c r="H232" s="7"/>
      <c r="I232" s="11"/>
    </row>
    <row r="233" spans="7:9" ht="14.25" customHeight="1" x14ac:dyDescent="0.35">
      <c r="G233" s="7"/>
      <c r="H233" s="7"/>
      <c r="I233" s="11"/>
    </row>
    <row r="234" spans="7:9" ht="14.25" customHeight="1" x14ac:dyDescent="0.35">
      <c r="G234" s="7"/>
      <c r="H234" s="7"/>
      <c r="I234" s="11"/>
    </row>
    <row r="235" spans="7:9" ht="14.25" customHeight="1" x14ac:dyDescent="0.35">
      <c r="G235" s="7"/>
      <c r="H235" s="7"/>
      <c r="I235" s="11"/>
    </row>
    <row r="236" spans="7:9" ht="14.25" customHeight="1" x14ac:dyDescent="0.35">
      <c r="G236" s="7"/>
      <c r="H236" s="7"/>
      <c r="I236" s="11"/>
    </row>
    <row r="237" spans="7:9" ht="14.25" customHeight="1" x14ac:dyDescent="0.35">
      <c r="G237" s="7"/>
      <c r="H237" s="7"/>
      <c r="I237" s="11"/>
    </row>
    <row r="238" spans="7:9" ht="14.25" customHeight="1" x14ac:dyDescent="0.35">
      <c r="G238" s="7"/>
      <c r="H238" s="7"/>
      <c r="I238" s="11"/>
    </row>
    <row r="239" spans="7:9" ht="14.25" customHeight="1" x14ac:dyDescent="0.35">
      <c r="G239" s="7"/>
      <c r="H239" s="7"/>
      <c r="I239" s="11"/>
    </row>
    <row r="240" spans="7:9" ht="14.25" customHeight="1" x14ac:dyDescent="0.35">
      <c r="G240" s="7"/>
      <c r="H240" s="7"/>
      <c r="I240" s="11"/>
    </row>
    <row r="241" spans="7:9" ht="14.25" customHeight="1" x14ac:dyDescent="0.35">
      <c r="G241" s="7"/>
      <c r="H241" s="7"/>
      <c r="I241" s="11"/>
    </row>
    <row r="242" spans="7:9" ht="14.25" customHeight="1" x14ac:dyDescent="0.35">
      <c r="G242" s="7"/>
      <c r="H242" s="7"/>
      <c r="I242" s="11"/>
    </row>
    <row r="243" spans="7:9" ht="14.25" customHeight="1" x14ac:dyDescent="0.35">
      <c r="G243" s="7"/>
      <c r="H243" s="7"/>
      <c r="I243" s="11"/>
    </row>
    <row r="244" spans="7:9" ht="14.25" customHeight="1" x14ac:dyDescent="0.35">
      <c r="G244" s="7"/>
      <c r="H244" s="7"/>
      <c r="I244" s="11"/>
    </row>
    <row r="245" spans="7:9" ht="14.25" customHeight="1" x14ac:dyDescent="0.35">
      <c r="G245" s="7"/>
      <c r="H245" s="7"/>
      <c r="I245" s="11"/>
    </row>
    <row r="246" spans="7:9" ht="14.25" customHeight="1" x14ac:dyDescent="0.35">
      <c r="G246" s="7"/>
      <c r="H246" s="7"/>
      <c r="I246" s="11"/>
    </row>
    <row r="247" spans="7:9" ht="14.25" customHeight="1" x14ac:dyDescent="0.35">
      <c r="G247" s="7"/>
      <c r="H247" s="7"/>
      <c r="I247" s="11"/>
    </row>
    <row r="248" spans="7:9" ht="14.25" customHeight="1" x14ac:dyDescent="0.35">
      <c r="G248" s="7"/>
      <c r="H248" s="7"/>
      <c r="I248" s="11"/>
    </row>
    <row r="249" spans="7:9" ht="14.25" customHeight="1" x14ac:dyDescent="0.35">
      <c r="G249" s="7"/>
      <c r="H249" s="7"/>
      <c r="I249" s="11"/>
    </row>
    <row r="250" spans="7:9" ht="14.25" customHeight="1" x14ac:dyDescent="0.35">
      <c r="G250" s="7"/>
      <c r="H250" s="7"/>
      <c r="I250" s="11"/>
    </row>
    <row r="251" spans="7:9" ht="14.25" customHeight="1" x14ac:dyDescent="0.35">
      <c r="G251" s="7"/>
      <c r="H251" s="7"/>
      <c r="I251" s="11"/>
    </row>
    <row r="252" spans="7:9" ht="14.25" customHeight="1" x14ac:dyDescent="0.35">
      <c r="G252" s="7"/>
      <c r="H252" s="7"/>
      <c r="I252" s="11"/>
    </row>
    <row r="253" spans="7:9" ht="14.25" customHeight="1" x14ac:dyDescent="0.35">
      <c r="G253" s="7"/>
      <c r="H253" s="7"/>
      <c r="I253" s="11"/>
    </row>
    <row r="254" spans="7:9" ht="14.25" customHeight="1" x14ac:dyDescent="0.35">
      <c r="G254" s="7"/>
      <c r="H254" s="7"/>
      <c r="I254" s="11"/>
    </row>
    <row r="255" spans="7:9" ht="14.25" customHeight="1" x14ac:dyDescent="0.35">
      <c r="G255" s="7"/>
      <c r="H255" s="7"/>
      <c r="I255" s="11"/>
    </row>
    <row r="256" spans="7:9" ht="14.25" customHeight="1" x14ac:dyDescent="0.35">
      <c r="G256" s="7"/>
      <c r="H256" s="7"/>
      <c r="I256" s="11"/>
    </row>
    <row r="257" spans="7:9" ht="14.25" customHeight="1" x14ac:dyDescent="0.35">
      <c r="G257" s="7"/>
      <c r="H257" s="7"/>
      <c r="I257" s="11"/>
    </row>
    <row r="258" spans="7:9" ht="14.25" customHeight="1" x14ac:dyDescent="0.35">
      <c r="G258" s="7"/>
      <c r="H258" s="7"/>
      <c r="I258" s="11"/>
    </row>
    <row r="259" spans="7:9" ht="14.25" customHeight="1" x14ac:dyDescent="0.35">
      <c r="G259" s="7"/>
      <c r="H259" s="7"/>
      <c r="I259" s="11"/>
    </row>
    <row r="260" spans="7:9" ht="14.25" customHeight="1" x14ac:dyDescent="0.35">
      <c r="G260" s="7"/>
      <c r="H260" s="7"/>
      <c r="I260" s="11"/>
    </row>
    <row r="261" spans="7:9" ht="14.25" customHeight="1" x14ac:dyDescent="0.35">
      <c r="G261" s="7"/>
      <c r="H261" s="7"/>
      <c r="I261" s="11"/>
    </row>
    <row r="262" spans="7:9" ht="14.25" customHeight="1" x14ac:dyDescent="0.35">
      <c r="G262" s="7"/>
      <c r="H262" s="7"/>
      <c r="I262" s="11"/>
    </row>
    <row r="263" spans="7:9" ht="14.25" customHeight="1" x14ac:dyDescent="0.35">
      <c r="G263" s="7"/>
      <c r="H263" s="7"/>
      <c r="I263" s="11"/>
    </row>
    <row r="264" spans="7:9" ht="14.25" customHeight="1" x14ac:dyDescent="0.35">
      <c r="G264" s="7"/>
      <c r="H264" s="7"/>
      <c r="I264" s="11"/>
    </row>
    <row r="265" spans="7:9" ht="14.25" customHeight="1" x14ac:dyDescent="0.35">
      <c r="G265" s="7"/>
      <c r="H265" s="7"/>
      <c r="I265" s="11"/>
    </row>
    <row r="266" spans="7:9" ht="14.25" customHeight="1" x14ac:dyDescent="0.35">
      <c r="G266" s="7"/>
      <c r="H266" s="7"/>
      <c r="I266" s="11"/>
    </row>
    <row r="267" spans="7:9" ht="14.25" customHeight="1" x14ac:dyDescent="0.35">
      <c r="G267" s="7"/>
      <c r="H267" s="7"/>
      <c r="I267" s="11"/>
    </row>
    <row r="268" spans="7:9" ht="14.25" customHeight="1" x14ac:dyDescent="0.35">
      <c r="G268" s="7"/>
      <c r="H268" s="7"/>
      <c r="I268" s="11"/>
    </row>
    <row r="269" spans="7:9" ht="14.25" customHeight="1" x14ac:dyDescent="0.35">
      <c r="G269" s="7"/>
      <c r="H269" s="7"/>
      <c r="I269" s="11"/>
    </row>
    <row r="270" spans="7:9" ht="14.25" customHeight="1" x14ac:dyDescent="0.35">
      <c r="G270" s="7"/>
      <c r="H270" s="7"/>
      <c r="I270" s="11"/>
    </row>
    <row r="271" spans="7:9" ht="14.25" customHeight="1" x14ac:dyDescent="0.35">
      <c r="G271" s="7"/>
      <c r="H271" s="7"/>
      <c r="I271" s="11"/>
    </row>
    <row r="272" spans="7:9" ht="14.25" customHeight="1" x14ac:dyDescent="0.35">
      <c r="G272" s="7"/>
      <c r="H272" s="7"/>
      <c r="I272" s="11"/>
    </row>
    <row r="273" spans="7:9" ht="14.25" customHeight="1" x14ac:dyDescent="0.35">
      <c r="G273" s="7"/>
      <c r="H273" s="7"/>
      <c r="I273" s="11"/>
    </row>
    <row r="274" spans="7:9" ht="14.25" customHeight="1" x14ac:dyDescent="0.35">
      <c r="G274" s="7"/>
      <c r="H274" s="7"/>
      <c r="I274" s="11"/>
    </row>
    <row r="275" spans="7:9" ht="14.25" customHeight="1" x14ac:dyDescent="0.35">
      <c r="G275" s="7"/>
      <c r="H275" s="7"/>
      <c r="I275" s="11"/>
    </row>
    <row r="276" spans="7:9" ht="14.25" customHeight="1" x14ac:dyDescent="0.35">
      <c r="G276" s="7"/>
      <c r="H276" s="7"/>
      <c r="I276" s="11"/>
    </row>
    <row r="277" spans="7:9" ht="14.25" customHeight="1" x14ac:dyDescent="0.35">
      <c r="G277" s="7"/>
      <c r="H277" s="7"/>
      <c r="I277" s="11"/>
    </row>
    <row r="278" spans="7:9" ht="14.25" customHeight="1" x14ac:dyDescent="0.35">
      <c r="G278" s="7"/>
      <c r="H278" s="7"/>
      <c r="I278" s="11"/>
    </row>
    <row r="279" spans="7:9" ht="14.25" customHeight="1" x14ac:dyDescent="0.35">
      <c r="G279" s="7"/>
      <c r="H279" s="7"/>
      <c r="I279" s="11"/>
    </row>
    <row r="280" spans="7:9" ht="14.25" customHeight="1" x14ac:dyDescent="0.35">
      <c r="G280" s="7"/>
      <c r="H280" s="7"/>
      <c r="I280" s="11"/>
    </row>
    <row r="281" spans="7:9" ht="14.25" customHeight="1" x14ac:dyDescent="0.35">
      <c r="G281" s="7"/>
      <c r="H281" s="7"/>
      <c r="I281" s="11"/>
    </row>
    <row r="282" spans="7:9" ht="14.25" customHeight="1" x14ac:dyDescent="0.35">
      <c r="G282" s="7"/>
      <c r="H282" s="7"/>
      <c r="I282" s="11"/>
    </row>
    <row r="283" spans="7:9" ht="14.25" customHeight="1" x14ac:dyDescent="0.35">
      <c r="G283" s="7"/>
      <c r="H283" s="7"/>
      <c r="I283" s="11"/>
    </row>
    <row r="284" spans="7:9" ht="14.25" customHeight="1" x14ac:dyDescent="0.35">
      <c r="G284" s="7"/>
      <c r="H284" s="7"/>
      <c r="I284" s="11"/>
    </row>
    <row r="285" spans="7:9" ht="14.25" customHeight="1" x14ac:dyDescent="0.35">
      <c r="G285" s="7"/>
      <c r="H285" s="7"/>
      <c r="I285" s="11"/>
    </row>
    <row r="286" spans="7:9" ht="14.25" customHeight="1" x14ac:dyDescent="0.35">
      <c r="G286" s="7"/>
      <c r="H286" s="7"/>
      <c r="I286" s="11"/>
    </row>
    <row r="287" spans="7:9" ht="14.25" customHeight="1" x14ac:dyDescent="0.35">
      <c r="G287" s="7"/>
      <c r="H287" s="7"/>
      <c r="I287" s="11"/>
    </row>
    <row r="288" spans="7:9" ht="14.25" customHeight="1" x14ac:dyDescent="0.35">
      <c r="G288" s="7"/>
      <c r="H288" s="7"/>
      <c r="I288" s="11"/>
    </row>
    <row r="289" spans="7:9" ht="14.25" customHeight="1" x14ac:dyDescent="0.35">
      <c r="G289" s="7"/>
      <c r="H289" s="7"/>
      <c r="I289" s="11"/>
    </row>
    <row r="290" spans="7:9" ht="14.25" customHeight="1" x14ac:dyDescent="0.35">
      <c r="G290" s="7"/>
      <c r="H290" s="7"/>
      <c r="I290" s="11"/>
    </row>
    <row r="291" spans="7:9" ht="14.25" customHeight="1" x14ac:dyDescent="0.35">
      <c r="G291" s="7"/>
      <c r="H291" s="7"/>
      <c r="I291" s="11"/>
    </row>
    <row r="292" spans="7:9" ht="14.25" customHeight="1" x14ac:dyDescent="0.35">
      <c r="G292" s="7"/>
      <c r="H292" s="7"/>
      <c r="I292" s="11"/>
    </row>
    <row r="293" spans="7:9" ht="14.25" customHeight="1" x14ac:dyDescent="0.35">
      <c r="G293" s="7"/>
      <c r="H293" s="7"/>
      <c r="I293" s="11"/>
    </row>
    <row r="294" spans="7:9" ht="14.25" customHeight="1" x14ac:dyDescent="0.35">
      <c r="G294" s="7"/>
      <c r="H294" s="7"/>
      <c r="I294" s="11"/>
    </row>
    <row r="295" spans="7:9" ht="14.25" customHeight="1" x14ac:dyDescent="0.35">
      <c r="G295" s="7"/>
      <c r="H295" s="7"/>
      <c r="I295" s="11"/>
    </row>
    <row r="296" spans="7:9" ht="14.25" customHeight="1" x14ac:dyDescent="0.35">
      <c r="G296" s="7"/>
      <c r="H296" s="7"/>
      <c r="I296" s="11"/>
    </row>
    <row r="297" spans="7:9" ht="14.25" customHeight="1" x14ac:dyDescent="0.35">
      <c r="G297" s="7"/>
      <c r="H297" s="7"/>
      <c r="I297" s="11"/>
    </row>
    <row r="298" spans="7:9" ht="14.25" customHeight="1" x14ac:dyDescent="0.35">
      <c r="G298" s="7"/>
      <c r="H298" s="7"/>
      <c r="I298" s="11"/>
    </row>
    <row r="299" spans="7:9" ht="14.25" customHeight="1" x14ac:dyDescent="0.35">
      <c r="G299" s="7"/>
      <c r="H299" s="7"/>
      <c r="I299" s="11"/>
    </row>
    <row r="300" spans="7:9" ht="14.25" customHeight="1" x14ac:dyDescent="0.35">
      <c r="G300" s="7"/>
      <c r="H300" s="7"/>
      <c r="I300" s="11"/>
    </row>
    <row r="301" spans="7:9" ht="14.25" customHeight="1" x14ac:dyDescent="0.35">
      <c r="G301" s="7"/>
      <c r="H301" s="7"/>
      <c r="I301" s="11"/>
    </row>
    <row r="302" spans="7:9" ht="14.25" customHeight="1" x14ac:dyDescent="0.35">
      <c r="G302" s="7"/>
      <c r="H302" s="7"/>
      <c r="I302" s="11"/>
    </row>
    <row r="303" spans="7:9" ht="14.25" customHeight="1" x14ac:dyDescent="0.35">
      <c r="G303" s="7"/>
      <c r="H303" s="7"/>
      <c r="I303" s="11"/>
    </row>
    <row r="304" spans="7:9" ht="14.25" customHeight="1" x14ac:dyDescent="0.35">
      <c r="G304" s="7"/>
      <c r="H304" s="7"/>
      <c r="I304" s="11"/>
    </row>
    <row r="305" spans="7:9" ht="14.25" customHeight="1" x14ac:dyDescent="0.35">
      <c r="G305" s="7"/>
      <c r="H305" s="7"/>
      <c r="I305" s="11"/>
    </row>
    <row r="306" spans="7:9" ht="14.25" customHeight="1" x14ac:dyDescent="0.35">
      <c r="G306" s="7"/>
      <c r="H306" s="7"/>
      <c r="I306" s="11"/>
    </row>
    <row r="307" spans="7:9" ht="14.25" customHeight="1" x14ac:dyDescent="0.35">
      <c r="G307" s="7"/>
      <c r="H307" s="7"/>
      <c r="I307" s="11"/>
    </row>
    <row r="308" spans="7:9" ht="14.25" customHeight="1" x14ac:dyDescent="0.35">
      <c r="G308" s="7"/>
      <c r="H308" s="7"/>
      <c r="I308" s="11"/>
    </row>
    <row r="309" spans="7:9" ht="14.25" customHeight="1" x14ac:dyDescent="0.35">
      <c r="G309" s="7"/>
      <c r="H309" s="7"/>
      <c r="I309" s="11"/>
    </row>
    <row r="310" spans="7:9" ht="14.25" customHeight="1" x14ac:dyDescent="0.35">
      <c r="G310" s="7"/>
      <c r="H310" s="7"/>
      <c r="I310" s="11"/>
    </row>
    <row r="311" spans="7:9" ht="14.25" customHeight="1" x14ac:dyDescent="0.35">
      <c r="G311" s="7"/>
      <c r="H311" s="7"/>
      <c r="I311" s="11"/>
    </row>
    <row r="312" spans="7:9" ht="14.25" customHeight="1" x14ac:dyDescent="0.35">
      <c r="G312" s="7"/>
      <c r="H312" s="7"/>
      <c r="I312" s="11"/>
    </row>
    <row r="313" spans="7:9" ht="14.25" customHeight="1" x14ac:dyDescent="0.35">
      <c r="G313" s="7"/>
      <c r="H313" s="7"/>
      <c r="I313" s="11"/>
    </row>
    <row r="314" spans="7:9" ht="14.25" customHeight="1" x14ac:dyDescent="0.35">
      <c r="G314" s="7"/>
      <c r="H314" s="7"/>
      <c r="I314" s="11"/>
    </row>
    <row r="315" spans="7:9" ht="14.25" customHeight="1" x14ac:dyDescent="0.35">
      <c r="G315" s="7"/>
      <c r="H315" s="7"/>
      <c r="I315" s="11"/>
    </row>
    <row r="316" spans="7:9" ht="14.25" customHeight="1" x14ac:dyDescent="0.35">
      <c r="G316" s="7"/>
      <c r="H316" s="7"/>
      <c r="I316" s="11"/>
    </row>
    <row r="317" spans="7:9" ht="14.25" customHeight="1" x14ac:dyDescent="0.35">
      <c r="G317" s="7"/>
      <c r="H317" s="7"/>
      <c r="I317" s="11"/>
    </row>
    <row r="318" spans="7:9" ht="14.25" customHeight="1" x14ac:dyDescent="0.35">
      <c r="G318" s="7"/>
      <c r="H318" s="7"/>
      <c r="I318" s="11"/>
    </row>
    <row r="319" spans="7:9" ht="14.25" customHeight="1" x14ac:dyDescent="0.35">
      <c r="G319" s="7"/>
      <c r="H319" s="7"/>
      <c r="I319" s="11"/>
    </row>
    <row r="320" spans="7:9" ht="14.25" customHeight="1" x14ac:dyDescent="0.35">
      <c r="G320" s="7"/>
      <c r="H320" s="7"/>
      <c r="I320" s="11"/>
    </row>
    <row r="321" spans="7:9" ht="14.25" customHeight="1" x14ac:dyDescent="0.35">
      <c r="G321" s="7"/>
      <c r="H321" s="7"/>
      <c r="I321" s="11"/>
    </row>
    <row r="322" spans="7:9" ht="14.25" customHeight="1" x14ac:dyDescent="0.35">
      <c r="G322" s="7"/>
      <c r="H322" s="7"/>
      <c r="I322" s="11"/>
    </row>
    <row r="323" spans="7:9" ht="14.25" customHeight="1" x14ac:dyDescent="0.35">
      <c r="G323" s="7"/>
      <c r="H323" s="7"/>
      <c r="I323" s="11"/>
    </row>
    <row r="324" spans="7:9" ht="14.25" customHeight="1" x14ac:dyDescent="0.35">
      <c r="G324" s="7"/>
      <c r="H324" s="7"/>
      <c r="I324" s="11"/>
    </row>
    <row r="325" spans="7:9" ht="14.25" customHeight="1" x14ac:dyDescent="0.35">
      <c r="G325" s="7"/>
      <c r="H325" s="7"/>
      <c r="I325" s="11"/>
    </row>
    <row r="326" spans="7:9" ht="14.25" customHeight="1" x14ac:dyDescent="0.35">
      <c r="G326" s="7"/>
      <c r="H326" s="7"/>
      <c r="I326" s="11"/>
    </row>
    <row r="327" spans="7:9" ht="14.25" customHeight="1" x14ac:dyDescent="0.35">
      <c r="G327" s="7"/>
      <c r="H327" s="7"/>
      <c r="I327" s="11"/>
    </row>
    <row r="328" spans="7:9" ht="14.25" customHeight="1" x14ac:dyDescent="0.35">
      <c r="G328" s="7"/>
      <c r="H328" s="7"/>
      <c r="I328" s="11"/>
    </row>
    <row r="329" spans="7:9" ht="14.25" customHeight="1" x14ac:dyDescent="0.35">
      <c r="G329" s="7"/>
      <c r="H329" s="7"/>
      <c r="I329" s="11"/>
    </row>
    <row r="330" spans="7:9" ht="14.25" customHeight="1" x14ac:dyDescent="0.35">
      <c r="G330" s="7"/>
      <c r="H330" s="7"/>
      <c r="I330" s="11"/>
    </row>
    <row r="331" spans="7:9" ht="14.25" customHeight="1" x14ac:dyDescent="0.35">
      <c r="G331" s="7"/>
      <c r="H331" s="7"/>
      <c r="I331" s="11"/>
    </row>
    <row r="332" spans="7:9" ht="14.25" customHeight="1" x14ac:dyDescent="0.35">
      <c r="G332" s="7"/>
      <c r="H332" s="7"/>
      <c r="I332" s="11"/>
    </row>
    <row r="333" spans="7:9" ht="14.25" customHeight="1" x14ac:dyDescent="0.35">
      <c r="G333" s="7"/>
      <c r="H333" s="7"/>
      <c r="I333" s="11"/>
    </row>
    <row r="334" spans="7:9" ht="14.25" customHeight="1" x14ac:dyDescent="0.35">
      <c r="G334" s="7"/>
      <c r="H334" s="7"/>
      <c r="I334" s="11"/>
    </row>
    <row r="335" spans="7:9" ht="14.25" customHeight="1" x14ac:dyDescent="0.35">
      <c r="G335" s="7"/>
      <c r="H335" s="7"/>
      <c r="I335" s="11"/>
    </row>
    <row r="336" spans="7:9" ht="14.25" customHeight="1" x14ac:dyDescent="0.35">
      <c r="G336" s="7"/>
      <c r="H336" s="7"/>
      <c r="I336" s="11"/>
    </row>
    <row r="337" spans="7:9" ht="14.25" customHeight="1" x14ac:dyDescent="0.35">
      <c r="G337" s="7"/>
      <c r="H337" s="7"/>
      <c r="I337" s="11"/>
    </row>
    <row r="338" spans="7:9" ht="14.25" customHeight="1" x14ac:dyDescent="0.35">
      <c r="G338" s="7"/>
      <c r="H338" s="7"/>
      <c r="I338" s="11"/>
    </row>
    <row r="339" spans="7:9" ht="14.25" customHeight="1" x14ac:dyDescent="0.35">
      <c r="G339" s="7"/>
      <c r="H339" s="7"/>
      <c r="I339" s="11"/>
    </row>
    <row r="340" spans="7:9" ht="14.25" customHeight="1" x14ac:dyDescent="0.35">
      <c r="G340" s="7"/>
      <c r="H340" s="7"/>
      <c r="I340" s="11"/>
    </row>
    <row r="341" spans="7:9" ht="14.25" customHeight="1" x14ac:dyDescent="0.35">
      <c r="G341" s="7"/>
      <c r="H341" s="7"/>
      <c r="I341" s="11"/>
    </row>
    <row r="342" spans="7:9" ht="14.25" customHeight="1" x14ac:dyDescent="0.35">
      <c r="G342" s="7"/>
      <c r="H342" s="7"/>
      <c r="I342" s="11"/>
    </row>
    <row r="343" spans="7:9" ht="14.25" customHeight="1" x14ac:dyDescent="0.35">
      <c r="G343" s="7"/>
      <c r="H343" s="7"/>
      <c r="I343" s="11"/>
    </row>
    <row r="344" spans="7:9" ht="14.25" customHeight="1" x14ac:dyDescent="0.35">
      <c r="G344" s="7"/>
      <c r="H344" s="7"/>
      <c r="I344" s="11"/>
    </row>
    <row r="345" spans="7:9" ht="14.25" customHeight="1" x14ac:dyDescent="0.35">
      <c r="G345" s="7"/>
      <c r="H345" s="7"/>
      <c r="I345" s="11"/>
    </row>
    <row r="346" spans="7:9" ht="14.25" customHeight="1" x14ac:dyDescent="0.35">
      <c r="G346" s="7"/>
      <c r="H346" s="7"/>
      <c r="I346" s="11"/>
    </row>
    <row r="347" spans="7:9" ht="14.25" customHeight="1" x14ac:dyDescent="0.35">
      <c r="G347" s="7"/>
      <c r="H347" s="7"/>
      <c r="I347" s="11"/>
    </row>
    <row r="348" spans="7:9" ht="14.25" customHeight="1" x14ac:dyDescent="0.35">
      <c r="G348" s="7"/>
      <c r="H348" s="7"/>
      <c r="I348" s="11"/>
    </row>
    <row r="349" spans="7:9" ht="14.25" customHeight="1" x14ac:dyDescent="0.35">
      <c r="G349" s="7"/>
      <c r="H349" s="7"/>
      <c r="I349" s="11"/>
    </row>
    <row r="350" spans="7:9" ht="14.25" customHeight="1" x14ac:dyDescent="0.35">
      <c r="G350" s="7"/>
      <c r="H350" s="7"/>
      <c r="I350" s="11"/>
    </row>
    <row r="351" spans="7:9" ht="14.25" customHeight="1" x14ac:dyDescent="0.35">
      <c r="G351" s="7"/>
      <c r="H351" s="7"/>
      <c r="I351" s="11"/>
    </row>
    <row r="352" spans="7:9" ht="14.25" customHeight="1" x14ac:dyDescent="0.35">
      <c r="G352" s="7"/>
      <c r="H352" s="7"/>
      <c r="I352" s="11"/>
    </row>
    <row r="353" spans="7:9" ht="14.25" customHeight="1" x14ac:dyDescent="0.35">
      <c r="G353" s="7"/>
      <c r="H353" s="7"/>
      <c r="I353" s="11"/>
    </row>
    <row r="354" spans="7:9" ht="14.25" customHeight="1" x14ac:dyDescent="0.35">
      <c r="G354" s="7"/>
      <c r="H354" s="7"/>
      <c r="I354" s="11"/>
    </row>
    <row r="355" spans="7:9" ht="14.25" customHeight="1" x14ac:dyDescent="0.35">
      <c r="G355" s="7"/>
      <c r="H355" s="7"/>
      <c r="I355" s="11"/>
    </row>
    <row r="356" spans="7:9" ht="14.25" customHeight="1" x14ac:dyDescent="0.35">
      <c r="G356" s="7"/>
      <c r="H356" s="7"/>
      <c r="I356" s="11"/>
    </row>
    <row r="357" spans="7:9" ht="14.25" customHeight="1" x14ac:dyDescent="0.35">
      <c r="G357" s="7"/>
      <c r="H357" s="7"/>
      <c r="I357" s="11"/>
    </row>
    <row r="358" spans="7:9" ht="14.25" customHeight="1" x14ac:dyDescent="0.35">
      <c r="G358" s="7"/>
      <c r="H358" s="7"/>
      <c r="I358" s="11"/>
    </row>
    <row r="359" spans="7:9" ht="14.25" customHeight="1" x14ac:dyDescent="0.35">
      <c r="G359" s="7"/>
      <c r="H359" s="7"/>
      <c r="I359" s="11"/>
    </row>
    <row r="360" spans="7:9" ht="14.25" customHeight="1" x14ac:dyDescent="0.35">
      <c r="G360" s="7"/>
      <c r="H360" s="7"/>
      <c r="I360" s="11"/>
    </row>
    <row r="361" spans="7:9" ht="14.25" customHeight="1" x14ac:dyDescent="0.35">
      <c r="G361" s="7"/>
      <c r="H361" s="7"/>
      <c r="I361" s="11"/>
    </row>
    <row r="362" spans="7:9" ht="14.25" customHeight="1" x14ac:dyDescent="0.35">
      <c r="G362" s="7"/>
      <c r="H362" s="7"/>
      <c r="I362" s="11"/>
    </row>
    <row r="363" spans="7:9" ht="14.25" customHeight="1" x14ac:dyDescent="0.35">
      <c r="G363" s="7"/>
      <c r="H363" s="7"/>
      <c r="I363" s="11"/>
    </row>
    <row r="364" spans="7:9" ht="14.25" customHeight="1" x14ac:dyDescent="0.35">
      <c r="G364" s="7"/>
      <c r="H364" s="7"/>
      <c r="I364" s="11"/>
    </row>
    <row r="365" spans="7:9" ht="14.25" customHeight="1" x14ac:dyDescent="0.35">
      <c r="G365" s="7"/>
      <c r="H365" s="7"/>
      <c r="I365" s="11"/>
    </row>
    <row r="366" spans="7:9" ht="14.25" customHeight="1" x14ac:dyDescent="0.35">
      <c r="G366" s="7"/>
      <c r="H366" s="7"/>
      <c r="I366" s="11"/>
    </row>
    <row r="367" spans="7:9" ht="14.25" customHeight="1" x14ac:dyDescent="0.35">
      <c r="G367" s="7"/>
      <c r="H367" s="7"/>
      <c r="I367" s="11"/>
    </row>
    <row r="368" spans="7:9" ht="14.25" customHeight="1" x14ac:dyDescent="0.35">
      <c r="G368" s="7"/>
      <c r="H368" s="7"/>
      <c r="I368" s="11"/>
    </row>
    <row r="369" spans="7:9" ht="14.25" customHeight="1" x14ac:dyDescent="0.35">
      <c r="G369" s="7"/>
      <c r="H369" s="7"/>
      <c r="I369" s="11"/>
    </row>
    <row r="370" spans="7:9" ht="14.25" customHeight="1" x14ac:dyDescent="0.35">
      <c r="G370" s="7"/>
      <c r="H370" s="7"/>
      <c r="I370" s="11"/>
    </row>
    <row r="371" spans="7:9" ht="14.25" customHeight="1" x14ac:dyDescent="0.35">
      <c r="G371" s="7"/>
      <c r="H371" s="7"/>
      <c r="I371" s="11"/>
    </row>
    <row r="372" spans="7:9" ht="14.25" customHeight="1" x14ac:dyDescent="0.35">
      <c r="G372" s="7"/>
      <c r="H372" s="7"/>
      <c r="I372" s="11"/>
    </row>
    <row r="373" spans="7:9" ht="14.25" customHeight="1" x14ac:dyDescent="0.35">
      <c r="G373" s="7"/>
      <c r="H373" s="7"/>
      <c r="I373" s="11"/>
    </row>
    <row r="374" spans="7:9" ht="14.25" customHeight="1" x14ac:dyDescent="0.35">
      <c r="G374" s="7"/>
      <c r="H374" s="7"/>
      <c r="I374" s="11"/>
    </row>
    <row r="375" spans="7:9" ht="14.25" customHeight="1" x14ac:dyDescent="0.35">
      <c r="G375" s="7"/>
      <c r="H375" s="7"/>
      <c r="I375" s="11"/>
    </row>
    <row r="376" spans="7:9" ht="14.25" customHeight="1" x14ac:dyDescent="0.35">
      <c r="G376" s="7"/>
      <c r="H376" s="7"/>
      <c r="I376" s="11"/>
    </row>
    <row r="377" spans="7:9" ht="14.25" customHeight="1" x14ac:dyDescent="0.35">
      <c r="G377" s="7"/>
      <c r="H377" s="7"/>
      <c r="I377" s="11"/>
    </row>
    <row r="378" spans="7:9" ht="14.25" customHeight="1" x14ac:dyDescent="0.35">
      <c r="G378" s="7"/>
      <c r="H378" s="7"/>
      <c r="I378" s="11"/>
    </row>
    <row r="379" spans="7:9" ht="14.25" customHeight="1" x14ac:dyDescent="0.35">
      <c r="G379" s="7"/>
      <c r="H379" s="7"/>
      <c r="I379" s="11"/>
    </row>
    <row r="380" spans="7:9" ht="14.25" customHeight="1" x14ac:dyDescent="0.35">
      <c r="G380" s="7"/>
      <c r="H380" s="7"/>
      <c r="I380" s="11"/>
    </row>
    <row r="381" spans="7:9" ht="14.25" customHeight="1" x14ac:dyDescent="0.35">
      <c r="G381" s="7"/>
      <c r="H381" s="7"/>
      <c r="I381" s="11"/>
    </row>
    <row r="382" spans="7:9" ht="14.25" customHeight="1" x14ac:dyDescent="0.35">
      <c r="G382" s="7"/>
      <c r="H382" s="7"/>
      <c r="I382" s="11"/>
    </row>
    <row r="383" spans="7:9" ht="14.25" customHeight="1" x14ac:dyDescent="0.35">
      <c r="G383" s="7"/>
      <c r="H383" s="7"/>
      <c r="I383" s="11"/>
    </row>
    <row r="384" spans="7:9" ht="14.25" customHeight="1" x14ac:dyDescent="0.35">
      <c r="G384" s="7"/>
      <c r="H384" s="7"/>
      <c r="I384" s="11"/>
    </row>
    <row r="385" spans="7:9" ht="14.25" customHeight="1" x14ac:dyDescent="0.35">
      <c r="G385" s="7"/>
      <c r="H385" s="7"/>
      <c r="I385" s="11"/>
    </row>
    <row r="386" spans="7:9" ht="14.25" customHeight="1" x14ac:dyDescent="0.35">
      <c r="G386" s="7"/>
      <c r="H386" s="7"/>
      <c r="I386" s="11"/>
    </row>
    <row r="387" spans="7:9" ht="14.25" customHeight="1" x14ac:dyDescent="0.35">
      <c r="G387" s="7"/>
      <c r="H387" s="7"/>
      <c r="I387" s="11"/>
    </row>
    <row r="388" spans="7:9" ht="14.25" customHeight="1" x14ac:dyDescent="0.35">
      <c r="G388" s="7"/>
      <c r="H388" s="7"/>
      <c r="I388" s="11"/>
    </row>
    <row r="389" spans="7:9" ht="14.25" customHeight="1" x14ac:dyDescent="0.35">
      <c r="G389" s="7"/>
      <c r="H389" s="7"/>
      <c r="I389" s="11"/>
    </row>
    <row r="390" spans="7:9" ht="14.25" customHeight="1" x14ac:dyDescent="0.35">
      <c r="G390" s="7"/>
      <c r="H390" s="7"/>
      <c r="I390" s="11"/>
    </row>
    <row r="391" spans="7:9" ht="14.25" customHeight="1" x14ac:dyDescent="0.35">
      <c r="G391" s="7"/>
      <c r="H391" s="7"/>
      <c r="I391" s="11"/>
    </row>
    <row r="392" spans="7:9" ht="14.25" customHeight="1" x14ac:dyDescent="0.35">
      <c r="G392" s="7"/>
      <c r="H392" s="7"/>
      <c r="I392" s="11"/>
    </row>
    <row r="393" spans="7:9" ht="14.25" customHeight="1" x14ac:dyDescent="0.35">
      <c r="G393" s="7"/>
      <c r="H393" s="7"/>
      <c r="I393" s="11"/>
    </row>
    <row r="394" spans="7:9" ht="14.25" customHeight="1" x14ac:dyDescent="0.35">
      <c r="G394" s="7"/>
      <c r="H394" s="7"/>
      <c r="I394" s="11"/>
    </row>
    <row r="395" spans="7:9" ht="14.25" customHeight="1" x14ac:dyDescent="0.35">
      <c r="G395" s="7"/>
      <c r="H395" s="7"/>
      <c r="I395" s="11"/>
    </row>
    <row r="396" spans="7:9" ht="14.25" customHeight="1" x14ac:dyDescent="0.35">
      <c r="G396" s="7"/>
      <c r="H396" s="7"/>
      <c r="I396" s="11"/>
    </row>
    <row r="397" spans="7:9" ht="14.25" customHeight="1" x14ac:dyDescent="0.35">
      <c r="G397" s="7"/>
      <c r="H397" s="7"/>
      <c r="I397" s="11"/>
    </row>
    <row r="398" spans="7:9" ht="14.25" customHeight="1" x14ac:dyDescent="0.35">
      <c r="G398" s="7"/>
      <c r="H398" s="7"/>
      <c r="I398" s="11"/>
    </row>
    <row r="399" spans="7:9" ht="14.25" customHeight="1" x14ac:dyDescent="0.35">
      <c r="G399" s="7"/>
      <c r="H399" s="7"/>
      <c r="I399" s="11"/>
    </row>
    <row r="400" spans="7:9" ht="14.25" customHeight="1" x14ac:dyDescent="0.35">
      <c r="G400" s="7"/>
      <c r="H400" s="7"/>
      <c r="I400" s="11"/>
    </row>
    <row r="401" spans="7:9" ht="14.25" customHeight="1" x14ac:dyDescent="0.35">
      <c r="G401" s="7"/>
      <c r="H401" s="7"/>
      <c r="I401" s="11"/>
    </row>
    <row r="402" spans="7:9" ht="14.25" customHeight="1" x14ac:dyDescent="0.35">
      <c r="G402" s="7"/>
      <c r="H402" s="7"/>
      <c r="I402" s="11"/>
    </row>
    <row r="403" spans="7:9" ht="14.25" customHeight="1" x14ac:dyDescent="0.35">
      <c r="G403" s="7"/>
      <c r="H403" s="7"/>
      <c r="I403" s="11"/>
    </row>
    <row r="404" spans="7:9" ht="14.25" customHeight="1" x14ac:dyDescent="0.35">
      <c r="G404" s="7"/>
      <c r="H404" s="7"/>
      <c r="I404" s="11"/>
    </row>
    <row r="405" spans="7:9" ht="14.25" customHeight="1" x14ac:dyDescent="0.35">
      <c r="G405" s="7"/>
      <c r="H405" s="7"/>
      <c r="I405" s="11"/>
    </row>
    <row r="406" spans="7:9" ht="14.25" customHeight="1" x14ac:dyDescent="0.35">
      <c r="G406" s="7"/>
      <c r="H406" s="7"/>
      <c r="I406" s="11"/>
    </row>
    <row r="407" spans="7:9" ht="14.25" customHeight="1" x14ac:dyDescent="0.35">
      <c r="G407" s="7"/>
      <c r="H407" s="7"/>
      <c r="I407" s="11"/>
    </row>
    <row r="408" spans="7:9" ht="14.25" customHeight="1" x14ac:dyDescent="0.35">
      <c r="G408" s="7"/>
      <c r="H408" s="7"/>
      <c r="I408" s="11"/>
    </row>
    <row r="409" spans="7:9" ht="14.25" customHeight="1" x14ac:dyDescent="0.35">
      <c r="G409" s="7"/>
      <c r="H409" s="7"/>
      <c r="I409" s="11"/>
    </row>
    <row r="410" spans="7:9" ht="14.25" customHeight="1" x14ac:dyDescent="0.35">
      <c r="G410" s="7"/>
      <c r="H410" s="7"/>
      <c r="I410" s="11"/>
    </row>
    <row r="411" spans="7:9" ht="14.25" customHeight="1" x14ac:dyDescent="0.35">
      <c r="G411" s="7"/>
      <c r="H411" s="7"/>
      <c r="I411" s="11"/>
    </row>
    <row r="412" spans="7:9" ht="14.25" customHeight="1" x14ac:dyDescent="0.35">
      <c r="G412" s="7"/>
      <c r="H412" s="7"/>
      <c r="I412" s="11"/>
    </row>
    <row r="413" spans="7:9" ht="14.25" customHeight="1" x14ac:dyDescent="0.35">
      <c r="G413" s="7"/>
      <c r="H413" s="7"/>
      <c r="I413" s="11"/>
    </row>
    <row r="414" spans="7:9" ht="14.25" customHeight="1" x14ac:dyDescent="0.35">
      <c r="G414" s="7"/>
      <c r="H414" s="7"/>
      <c r="I414" s="11"/>
    </row>
    <row r="415" spans="7:9" ht="14.25" customHeight="1" x14ac:dyDescent="0.35">
      <c r="G415" s="7"/>
      <c r="H415" s="7"/>
      <c r="I415" s="11"/>
    </row>
    <row r="416" spans="7:9" ht="14.25" customHeight="1" x14ac:dyDescent="0.35">
      <c r="G416" s="7"/>
      <c r="H416" s="7"/>
      <c r="I416" s="11"/>
    </row>
    <row r="417" spans="7:9" ht="14.25" customHeight="1" x14ac:dyDescent="0.35">
      <c r="G417" s="7"/>
      <c r="H417" s="7"/>
      <c r="I417" s="11"/>
    </row>
    <row r="418" spans="7:9" ht="14.25" customHeight="1" x14ac:dyDescent="0.35">
      <c r="G418" s="7"/>
      <c r="H418" s="7"/>
      <c r="I418" s="11"/>
    </row>
    <row r="419" spans="7:9" ht="14.25" customHeight="1" x14ac:dyDescent="0.35">
      <c r="G419" s="7"/>
      <c r="H419" s="7"/>
      <c r="I419" s="11"/>
    </row>
    <row r="420" spans="7:9" ht="14.25" customHeight="1" x14ac:dyDescent="0.35">
      <c r="G420" s="7"/>
      <c r="H420" s="7"/>
      <c r="I420" s="11"/>
    </row>
    <row r="421" spans="7:9" ht="14.25" customHeight="1" x14ac:dyDescent="0.35">
      <c r="G421" s="7"/>
      <c r="H421" s="7"/>
      <c r="I421" s="11"/>
    </row>
    <row r="422" spans="7:9" ht="14.25" customHeight="1" x14ac:dyDescent="0.35">
      <c r="G422" s="7"/>
      <c r="H422" s="7"/>
      <c r="I422" s="11"/>
    </row>
    <row r="423" spans="7:9" ht="14.25" customHeight="1" x14ac:dyDescent="0.35">
      <c r="G423" s="7"/>
      <c r="H423" s="7"/>
      <c r="I423" s="11"/>
    </row>
    <row r="424" spans="7:9" ht="14.25" customHeight="1" x14ac:dyDescent="0.35">
      <c r="G424" s="7"/>
      <c r="H424" s="7"/>
      <c r="I424" s="11"/>
    </row>
    <row r="425" spans="7:9" ht="14.25" customHeight="1" x14ac:dyDescent="0.35">
      <c r="G425" s="7"/>
      <c r="H425" s="7"/>
      <c r="I425" s="11"/>
    </row>
    <row r="426" spans="7:9" ht="14.25" customHeight="1" x14ac:dyDescent="0.35">
      <c r="G426" s="7"/>
      <c r="H426" s="7"/>
      <c r="I426" s="11"/>
    </row>
    <row r="427" spans="7:9" ht="14.25" customHeight="1" x14ac:dyDescent="0.35">
      <c r="G427" s="7"/>
      <c r="H427" s="7"/>
      <c r="I427" s="11"/>
    </row>
    <row r="428" spans="7:9" ht="14.25" customHeight="1" x14ac:dyDescent="0.35">
      <c r="G428" s="7"/>
      <c r="H428" s="7"/>
      <c r="I428" s="11"/>
    </row>
    <row r="429" spans="7:9" ht="14.25" customHeight="1" x14ac:dyDescent="0.35">
      <c r="G429" s="7"/>
      <c r="H429" s="7"/>
      <c r="I429" s="11"/>
    </row>
    <row r="430" spans="7:9" ht="14.25" customHeight="1" x14ac:dyDescent="0.35">
      <c r="G430" s="7"/>
      <c r="H430" s="7"/>
      <c r="I430" s="11"/>
    </row>
    <row r="431" spans="7:9" ht="14.25" customHeight="1" x14ac:dyDescent="0.35">
      <c r="G431" s="7"/>
      <c r="H431" s="7"/>
      <c r="I431" s="11"/>
    </row>
    <row r="432" spans="7:9" ht="14.25" customHeight="1" x14ac:dyDescent="0.35">
      <c r="G432" s="7"/>
      <c r="H432" s="7"/>
      <c r="I432" s="11"/>
    </row>
    <row r="433" spans="7:9" ht="14.25" customHeight="1" x14ac:dyDescent="0.35">
      <c r="G433" s="7"/>
      <c r="H433" s="7"/>
      <c r="I433" s="11"/>
    </row>
    <row r="434" spans="7:9" ht="14.25" customHeight="1" x14ac:dyDescent="0.35">
      <c r="G434" s="7"/>
      <c r="H434" s="7"/>
      <c r="I434" s="11"/>
    </row>
    <row r="435" spans="7:9" ht="14.25" customHeight="1" x14ac:dyDescent="0.35">
      <c r="G435" s="7"/>
      <c r="H435" s="7"/>
      <c r="I435" s="11"/>
    </row>
    <row r="436" spans="7:9" ht="14.25" customHeight="1" x14ac:dyDescent="0.35">
      <c r="G436" s="7"/>
      <c r="H436" s="7"/>
      <c r="I436" s="11"/>
    </row>
    <row r="437" spans="7:9" ht="14.25" customHeight="1" x14ac:dyDescent="0.35">
      <c r="G437" s="7"/>
      <c r="H437" s="7"/>
      <c r="I437" s="11"/>
    </row>
    <row r="438" spans="7:9" ht="14.25" customHeight="1" x14ac:dyDescent="0.35">
      <c r="G438" s="7"/>
      <c r="H438" s="7"/>
      <c r="I438" s="11"/>
    </row>
    <row r="439" spans="7:9" ht="14.25" customHeight="1" x14ac:dyDescent="0.35">
      <c r="G439" s="7"/>
      <c r="H439" s="7"/>
      <c r="I439" s="11"/>
    </row>
    <row r="440" spans="7:9" ht="14.25" customHeight="1" x14ac:dyDescent="0.35">
      <c r="G440" s="7"/>
      <c r="H440" s="7"/>
      <c r="I440" s="11"/>
    </row>
    <row r="441" spans="7:9" ht="14.25" customHeight="1" x14ac:dyDescent="0.35">
      <c r="G441" s="7"/>
      <c r="H441" s="7"/>
      <c r="I441" s="11"/>
    </row>
    <row r="442" spans="7:9" ht="14.25" customHeight="1" x14ac:dyDescent="0.35">
      <c r="G442" s="7"/>
      <c r="H442" s="7"/>
      <c r="I442" s="11"/>
    </row>
    <row r="443" spans="7:9" ht="14.25" customHeight="1" x14ac:dyDescent="0.35">
      <c r="G443" s="7"/>
      <c r="H443" s="7"/>
      <c r="I443" s="11"/>
    </row>
    <row r="444" spans="7:9" ht="14.25" customHeight="1" x14ac:dyDescent="0.35">
      <c r="G444" s="7"/>
      <c r="H444" s="7"/>
      <c r="I444" s="11"/>
    </row>
    <row r="445" spans="7:9" ht="14.25" customHeight="1" x14ac:dyDescent="0.35">
      <c r="G445" s="7"/>
      <c r="H445" s="7"/>
      <c r="I445" s="11"/>
    </row>
    <row r="446" spans="7:9" ht="14.25" customHeight="1" x14ac:dyDescent="0.35">
      <c r="G446" s="7"/>
      <c r="H446" s="7"/>
      <c r="I446" s="11"/>
    </row>
    <row r="447" spans="7:9" ht="14.25" customHeight="1" x14ac:dyDescent="0.35">
      <c r="G447" s="7"/>
      <c r="H447" s="7"/>
      <c r="I447" s="11"/>
    </row>
    <row r="448" spans="7:9" ht="14.25" customHeight="1" x14ac:dyDescent="0.35">
      <c r="G448" s="7"/>
      <c r="H448" s="7"/>
      <c r="I448" s="11"/>
    </row>
    <row r="449" spans="7:9" ht="14.25" customHeight="1" x14ac:dyDescent="0.35">
      <c r="G449" s="7"/>
      <c r="H449" s="7"/>
      <c r="I449" s="11"/>
    </row>
    <row r="450" spans="7:9" ht="14.25" customHeight="1" x14ac:dyDescent="0.35">
      <c r="G450" s="7"/>
      <c r="H450" s="7"/>
      <c r="I450" s="11"/>
    </row>
    <row r="451" spans="7:9" ht="14.25" customHeight="1" x14ac:dyDescent="0.35">
      <c r="G451" s="7"/>
      <c r="H451" s="7"/>
      <c r="I451" s="11"/>
    </row>
    <row r="452" spans="7:9" ht="14.25" customHeight="1" x14ac:dyDescent="0.35">
      <c r="G452" s="7"/>
      <c r="H452" s="7"/>
      <c r="I452" s="11"/>
    </row>
    <row r="453" spans="7:9" ht="14.25" customHeight="1" x14ac:dyDescent="0.35">
      <c r="G453" s="7"/>
      <c r="H453" s="7"/>
      <c r="I453" s="11"/>
    </row>
    <row r="454" spans="7:9" ht="14.25" customHeight="1" x14ac:dyDescent="0.35">
      <c r="G454" s="7"/>
      <c r="H454" s="7"/>
      <c r="I454" s="11"/>
    </row>
    <row r="455" spans="7:9" ht="14.25" customHeight="1" x14ac:dyDescent="0.35">
      <c r="G455" s="7"/>
      <c r="H455" s="7"/>
      <c r="I455" s="11"/>
    </row>
    <row r="456" spans="7:9" ht="14.25" customHeight="1" x14ac:dyDescent="0.35">
      <c r="G456" s="7"/>
      <c r="H456" s="7"/>
      <c r="I456" s="11"/>
    </row>
    <row r="457" spans="7:9" ht="14.25" customHeight="1" x14ac:dyDescent="0.35">
      <c r="G457" s="7"/>
      <c r="H457" s="7"/>
      <c r="I457" s="11"/>
    </row>
    <row r="458" spans="7:9" ht="14.25" customHeight="1" x14ac:dyDescent="0.35">
      <c r="G458" s="7"/>
      <c r="H458" s="7"/>
      <c r="I458" s="11"/>
    </row>
    <row r="459" spans="7:9" ht="14.25" customHeight="1" x14ac:dyDescent="0.35">
      <c r="G459" s="7"/>
      <c r="H459" s="7"/>
      <c r="I459" s="11"/>
    </row>
    <row r="460" spans="7:9" ht="14.25" customHeight="1" x14ac:dyDescent="0.35">
      <c r="G460" s="7"/>
      <c r="H460" s="7"/>
      <c r="I460" s="11"/>
    </row>
    <row r="461" spans="7:9" ht="14.25" customHeight="1" x14ac:dyDescent="0.35">
      <c r="G461" s="7"/>
      <c r="H461" s="7"/>
      <c r="I461" s="11"/>
    </row>
    <row r="462" spans="7:9" ht="14.25" customHeight="1" x14ac:dyDescent="0.35">
      <c r="G462" s="7"/>
      <c r="H462" s="7"/>
      <c r="I462" s="11"/>
    </row>
    <row r="463" spans="7:9" ht="14.25" customHeight="1" x14ac:dyDescent="0.35">
      <c r="G463" s="7"/>
      <c r="H463" s="7"/>
      <c r="I463" s="11"/>
    </row>
    <row r="464" spans="7:9" ht="14.25" customHeight="1" x14ac:dyDescent="0.35">
      <c r="G464" s="7"/>
      <c r="H464" s="7"/>
      <c r="I464" s="11"/>
    </row>
    <row r="465" spans="7:9" ht="14.25" customHeight="1" x14ac:dyDescent="0.35">
      <c r="G465" s="7"/>
      <c r="H465" s="7"/>
      <c r="I465" s="11"/>
    </row>
    <row r="466" spans="7:9" ht="14.25" customHeight="1" x14ac:dyDescent="0.35">
      <c r="G466" s="7"/>
      <c r="H466" s="7"/>
      <c r="I466" s="11"/>
    </row>
    <row r="467" spans="7:9" ht="14.25" customHeight="1" x14ac:dyDescent="0.35">
      <c r="G467" s="7"/>
      <c r="H467" s="7"/>
      <c r="I467" s="11"/>
    </row>
    <row r="468" spans="7:9" ht="14.25" customHeight="1" x14ac:dyDescent="0.35">
      <c r="G468" s="7"/>
      <c r="H468" s="7"/>
      <c r="I468" s="11"/>
    </row>
    <row r="469" spans="7:9" ht="14.25" customHeight="1" x14ac:dyDescent="0.35">
      <c r="G469" s="7"/>
      <c r="H469" s="7"/>
      <c r="I469" s="11"/>
    </row>
    <row r="470" spans="7:9" ht="14.25" customHeight="1" x14ac:dyDescent="0.35">
      <c r="G470" s="7"/>
      <c r="H470" s="7"/>
      <c r="I470" s="11"/>
    </row>
    <row r="471" spans="7:9" ht="14.25" customHeight="1" x14ac:dyDescent="0.35">
      <c r="G471" s="7"/>
      <c r="H471" s="7"/>
      <c r="I471" s="11"/>
    </row>
    <row r="472" spans="7:9" ht="14.25" customHeight="1" x14ac:dyDescent="0.35">
      <c r="G472" s="7"/>
      <c r="H472" s="7"/>
      <c r="I472" s="11"/>
    </row>
    <row r="473" spans="7:9" ht="14.25" customHeight="1" x14ac:dyDescent="0.35">
      <c r="G473" s="7"/>
      <c r="H473" s="7"/>
      <c r="I473" s="11"/>
    </row>
    <row r="474" spans="7:9" ht="14.25" customHeight="1" x14ac:dyDescent="0.35">
      <c r="G474" s="7"/>
      <c r="H474" s="7"/>
      <c r="I474" s="11"/>
    </row>
    <row r="475" spans="7:9" ht="14.25" customHeight="1" x14ac:dyDescent="0.35">
      <c r="G475" s="7"/>
      <c r="H475" s="7"/>
      <c r="I475" s="11"/>
    </row>
    <row r="476" spans="7:9" ht="14.25" customHeight="1" x14ac:dyDescent="0.35">
      <c r="G476" s="7"/>
      <c r="H476" s="7"/>
      <c r="I476" s="11"/>
    </row>
    <row r="477" spans="7:9" ht="14.25" customHeight="1" x14ac:dyDescent="0.35">
      <c r="G477" s="7"/>
      <c r="H477" s="7"/>
      <c r="I477" s="11"/>
    </row>
    <row r="478" spans="7:9" ht="14.25" customHeight="1" x14ac:dyDescent="0.35">
      <c r="G478" s="7"/>
      <c r="H478" s="7"/>
      <c r="I478" s="11"/>
    </row>
    <row r="479" spans="7:9" ht="14.25" customHeight="1" x14ac:dyDescent="0.35">
      <c r="G479" s="7"/>
      <c r="H479" s="7"/>
      <c r="I479" s="11"/>
    </row>
    <row r="480" spans="7:9" ht="14.25" customHeight="1" x14ac:dyDescent="0.35">
      <c r="G480" s="7"/>
      <c r="H480" s="7"/>
      <c r="I480" s="11"/>
    </row>
    <row r="481" spans="7:9" ht="14.25" customHeight="1" x14ac:dyDescent="0.35">
      <c r="G481" s="7"/>
      <c r="H481" s="7"/>
      <c r="I481" s="11"/>
    </row>
    <row r="482" spans="7:9" ht="14.25" customHeight="1" x14ac:dyDescent="0.35">
      <c r="G482" s="7"/>
      <c r="H482" s="7"/>
      <c r="I482" s="11"/>
    </row>
    <row r="483" spans="7:9" ht="14.25" customHeight="1" x14ac:dyDescent="0.35">
      <c r="G483" s="7"/>
      <c r="H483" s="7"/>
      <c r="I483" s="11"/>
    </row>
    <row r="484" spans="7:9" ht="14.25" customHeight="1" x14ac:dyDescent="0.35">
      <c r="G484" s="7"/>
      <c r="H484" s="7"/>
      <c r="I484" s="11"/>
    </row>
    <row r="485" spans="7:9" ht="14.25" customHeight="1" x14ac:dyDescent="0.35">
      <c r="G485" s="7"/>
      <c r="H485" s="7"/>
      <c r="I485" s="11"/>
    </row>
    <row r="486" spans="7:9" ht="14.25" customHeight="1" x14ac:dyDescent="0.35">
      <c r="G486" s="7"/>
      <c r="H486" s="7"/>
      <c r="I486" s="11"/>
    </row>
    <row r="487" spans="7:9" ht="14.25" customHeight="1" x14ac:dyDescent="0.35">
      <c r="G487" s="7"/>
      <c r="H487" s="7"/>
      <c r="I487" s="11"/>
    </row>
    <row r="488" spans="7:9" ht="14.25" customHeight="1" x14ac:dyDescent="0.35">
      <c r="G488" s="7"/>
      <c r="H488" s="7"/>
      <c r="I488" s="11"/>
    </row>
    <row r="489" spans="7:9" ht="14.25" customHeight="1" x14ac:dyDescent="0.35">
      <c r="G489" s="7"/>
      <c r="H489" s="7"/>
      <c r="I489" s="11"/>
    </row>
    <row r="490" spans="7:9" ht="14.25" customHeight="1" x14ac:dyDescent="0.35">
      <c r="G490" s="7"/>
      <c r="H490" s="7"/>
      <c r="I490" s="11"/>
    </row>
    <row r="491" spans="7:9" ht="14.25" customHeight="1" x14ac:dyDescent="0.35">
      <c r="G491" s="7"/>
      <c r="H491" s="7"/>
      <c r="I491" s="11"/>
    </row>
    <row r="492" spans="7:9" ht="14.25" customHeight="1" x14ac:dyDescent="0.35">
      <c r="G492" s="7"/>
      <c r="H492" s="7"/>
      <c r="I492" s="11"/>
    </row>
    <row r="493" spans="7:9" ht="14.25" customHeight="1" x14ac:dyDescent="0.35">
      <c r="G493" s="7"/>
      <c r="H493" s="7"/>
      <c r="I493" s="11"/>
    </row>
    <row r="494" spans="7:9" ht="14.25" customHeight="1" x14ac:dyDescent="0.35">
      <c r="G494" s="7"/>
      <c r="H494" s="7"/>
      <c r="I494" s="11"/>
    </row>
    <row r="495" spans="7:9" ht="14.25" customHeight="1" x14ac:dyDescent="0.35">
      <c r="G495" s="7"/>
      <c r="H495" s="7"/>
      <c r="I495" s="11"/>
    </row>
    <row r="496" spans="7:9" ht="14.25" customHeight="1" x14ac:dyDescent="0.35">
      <c r="G496" s="7"/>
      <c r="H496" s="7"/>
      <c r="I496" s="11"/>
    </row>
    <row r="497" spans="7:9" ht="14.25" customHeight="1" x14ac:dyDescent="0.35">
      <c r="G497" s="7"/>
      <c r="H497" s="7"/>
      <c r="I497" s="11"/>
    </row>
    <row r="498" spans="7:9" ht="14.25" customHeight="1" x14ac:dyDescent="0.35">
      <c r="G498" s="7"/>
      <c r="H498" s="7"/>
      <c r="I498" s="11"/>
    </row>
    <row r="499" spans="7:9" ht="14.25" customHeight="1" x14ac:dyDescent="0.35">
      <c r="G499" s="7"/>
      <c r="H499" s="7"/>
      <c r="I499" s="11"/>
    </row>
    <row r="500" spans="7:9" ht="14.25" customHeight="1" x14ac:dyDescent="0.35">
      <c r="G500" s="7"/>
      <c r="H500" s="7"/>
      <c r="I500" s="11"/>
    </row>
    <row r="501" spans="7:9" ht="14.25" customHeight="1" x14ac:dyDescent="0.35">
      <c r="G501" s="7"/>
      <c r="H501" s="7"/>
      <c r="I501" s="11"/>
    </row>
    <row r="502" spans="7:9" ht="14.25" customHeight="1" x14ac:dyDescent="0.35">
      <c r="G502" s="7"/>
      <c r="H502" s="7"/>
      <c r="I502" s="11"/>
    </row>
    <row r="503" spans="7:9" ht="14.25" customHeight="1" x14ac:dyDescent="0.35">
      <c r="G503" s="7"/>
      <c r="H503" s="7"/>
      <c r="I503" s="11"/>
    </row>
    <row r="504" spans="7:9" ht="14.25" customHeight="1" x14ac:dyDescent="0.35">
      <c r="G504" s="7"/>
      <c r="H504" s="7"/>
      <c r="I504" s="11"/>
    </row>
    <row r="505" spans="7:9" ht="14.25" customHeight="1" x14ac:dyDescent="0.35">
      <c r="G505" s="7"/>
      <c r="H505" s="7"/>
      <c r="I505" s="11"/>
    </row>
    <row r="506" spans="7:9" ht="14.25" customHeight="1" x14ac:dyDescent="0.35">
      <c r="G506" s="7"/>
      <c r="H506" s="7"/>
      <c r="I506" s="11"/>
    </row>
    <row r="507" spans="7:9" ht="14.25" customHeight="1" x14ac:dyDescent="0.35">
      <c r="G507" s="7"/>
      <c r="H507" s="7"/>
      <c r="I507" s="11"/>
    </row>
    <row r="508" spans="7:9" ht="14.25" customHeight="1" x14ac:dyDescent="0.35">
      <c r="G508" s="7"/>
      <c r="H508" s="7"/>
      <c r="I508" s="11"/>
    </row>
    <row r="509" spans="7:9" ht="14.25" customHeight="1" x14ac:dyDescent="0.35">
      <c r="G509" s="7"/>
      <c r="H509" s="7"/>
      <c r="I509" s="11"/>
    </row>
    <row r="510" spans="7:9" ht="14.25" customHeight="1" x14ac:dyDescent="0.35">
      <c r="G510" s="7"/>
      <c r="H510" s="7"/>
      <c r="I510" s="11"/>
    </row>
    <row r="511" spans="7:9" ht="14.25" customHeight="1" x14ac:dyDescent="0.35">
      <c r="G511" s="7"/>
      <c r="H511" s="7"/>
      <c r="I511" s="11"/>
    </row>
    <row r="512" spans="7:9" ht="14.25" customHeight="1" x14ac:dyDescent="0.35">
      <c r="G512" s="7"/>
      <c r="H512" s="7"/>
      <c r="I512" s="11"/>
    </row>
    <row r="513" spans="7:9" ht="14.25" customHeight="1" x14ac:dyDescent="0.35">
      <c r="G513" s="7"/>
      <c r="H513" s="7"/>
      <c r="I513" s="11"/>
    </row>
    <row r="514" spans="7:9" ht="14.25" customHeight="1" x14ac:dyDescent="0.35">
      <c r="G514" s="7"/>
      <c r="H514" s="7"/>
      <c r="I514" s="11"/>
    </row>
    <row r="515" spans="7:9" ht="14.25" customHeight="1" x14ac:dyDescent="0.35">
      <c r="G515" s="7"/>
      <c r="H515" s="7"/>
      <c r="I515" s="11"/>
    </row>
    <row r="516" spans="7:9" ht="14.25" customHeight="1" x14ac:dyDescent="0.35">
      <c r="G516" s="7"/>
      <c r="H516" s="7"/>
      <c r="I516" s="11"/>
    </row>
    <row r="517" spans="7:9" ht="14.25" customHeight="1" x14ac:dyDescent="0.35">
      <c r="G517" s="7"/>
      <c r="H517" s="7"/>
      <c r="I517" s="11"/>
    </row>
    <row r="518" spans="7:9" ht="14.25" customHeight="1" x14ac:dyDescent="0.35">
      <c r="G518" s="7"/>
      <c r="H518" s="7"/>
      <c r="I518" s="11"/>
    </row>
    <row r="519" spans="7:9" ht="14.25" customHeight="1" x14ac:dyDescent="0.35">
      <c r="G519" s="7"/>
      <c r="H519" s="7"/>
      <c r="I519" s="11"/>
    </row>
    <row r="520" spans="7:9" ht="14.25" customHeight="1" x14ac:dyDescent="0.35">
      <c r="G520" s="7"/>
      <c r="H520" s="7"/>
      <c r="I520" s="11"/>
    </row>
    <row r="521" spans="7:9" ht="14.25" customHeight="1" x14ac:dyDescent="0.35">
      <c r="G521" s="7"/>
      <c r="H521" s="7"/>
      <c r="I521" s="11"/>
    </row>
    <row r="522" spans="7:9" ht="14.25" customHeight="1" x14ac:dyDescent="0.35">
      <c r="G522" s="7"/>
      <c r="H522" s="7"/>
      <c r="I522" s="11"/>
    </row>
    <row r="523" spans="7:9" ht="14.25" customHeight="1" x14ac:dyDescent="0.35">
      <c r="G523" s="7"/>
      <c r="H523" s="7"/>
      <c r="I523" s="11"/>
    </row>
    <row r="524" spans="7:9" ht="14.25" customHeight="1" x14ac:dyDescent="0.35">
      <c r="G524" s="7"/>
      <c r="H524" s="7"/>
      <c r="I524" s="11"/>
    </row>
    <row r="525" spans="7:9" ht="14.25" customHeight="1" x14ac:dyDescent="0.35">
      <c r="G525" s="7"/>
      <c r="H525" s="7"/>
      <c r="I525" s="11"/>
    </row>
    <row r="526" spans="7:9" ht="14.25" customHeight="1" x14ac:dyDescent="0.35">
      <c r="G526" s="7"/>
      <c r="H526" s="7"/>
      <c r="I526" s="11"/>
    </row>
    <row r="527" spans="7:9" ht="14.25" customHeight="1" x14ac:dyDescent="0.35">
      <c r="G527" s="7"/>
      <c r="H527" s="7"/>
      <c r="I527" s="11"/>
    </row>
    <row r="528" spans="7:9" ht="14.25" customHeight="1" x14ac:dyDescent="0.35">
      <c r="G528" s="7"/>
      <c r="H528" s="7"/>
      <c r="I528" s="11"/>
    </row>
    <row r="529" spans="7:9" ht="14.25" customHeight="1" x14ac:dyDescent="0.35">
      <c r="G529" s="7"/>
      <c r="H529" s="7"/>
      <c r="I529" s="11"/>
    </row>
    <row r="530" spans="7:9" ht="14.25" customHeight="1" x14ac:dyDescent="0.35">
      <c r="G530" s="7"/>
      <c r="H530" s="7"/>
      <c r="I530" s="11"/>
    </row>
    <row r="531" spans="7:9" ht="14.25" customHeight="1" x14ac:dyDescent="0.35">
      <c r="G531" s="7"/>
      <c r="H531" s="7"/>
      <c r="I531" s="11"/>
    </row>
    <row r="532" spans="7:9" ht="14.25" customHeight="1" x14ac:dyDescent="0.35">
      <c r="G532" s="7"/>
      <c r="H532" s="7"/>
      <c r="I532" s="11"/>
    </row>
    <row r="533" spans="7:9" ht="14.25" customHeight="1" x14ac:dyDescent="0.35">
      <c r="G533" s="7"/>
      <c r="H533" s="7"/>
      <c r="I533" s="11"/>
    </row>
    <row r="534" spans="7:9" ht="14.25" customHeight="1" x14ac:dyDescent="0.35">
      <c r="G534" s="7"/>
      <c r="H534" s="7"/>
      <c r="I534" s="11"/>
    </row>
    <row r="535" spans="7:9" ht="14.25" customHeight="1" x14ac:dyDescent="0.35">
      <c r="G535" s="7"/>
      <c r="H535" s="7"/>
      <c r="I535" s="11"/>
    </row>
    <row r="536" spans="7:9" ht="14.25" customHeight="1" x14ac:dyDescent="0.35">
      <c r="G536" s="7"/>
      <c r="H536" s="7"/>
      <c r="I536" s="11"/>
    </row>
    <row r="537" spans="7:9" ht="14.25" customHeight="1" x14ac:dyDescent="0.35">
      <c r="G537" s="7"/>
      <c r="H537" s="7"/>
      <c r="I537" s="11"/>
    </row>
    <row r="538" spans="7:9" ht="14.25" customHeight="1" x14ac:dyDescent="0.35">
      <c r="G538" s="7"/>
      <c r="H538" s="7"/>
      <c r="I538" s="11"/>
    </row>
    <row r="539" spans="7:9" ht="14.25" customHeight="1" x14ac:dyDescent="0.35">
      <c r="G539" s="7"/>
      <c r="H539" s="7"/>
      <c r="I539" s="11"/>
    </row>
    <row r="540" spans="7:9" ht="14.25" customHeight="1" x14ac:dyDescent="0.35">
      <c r="G540" s="7"/>
      <c r="H540" s="7"/>
      <c r="I540" s="11"/>
    </row>
    <row r="541" spans="7:9" ht="14.25" customHeight="1" x14ac:dyDescent="0.35">
      <c r="G541" s="7"/>
      <c r="H541" s="7"/>
      <c r="I541" s="11"/>
    </row>
    <row r="542" spans="7:9" ht="14.25" customHeight="1" x14ac:dyDescent="0.35">
      <c r="G542" s="7"/>
      <c r="H542" s="7"/>
      <c r="I542" s="11"/>
    </row>
    <row r="543" spans="7:9" ht="14.25" customHeight="1" x14ac:dyDescent="0.35">
      <c r="G543" s="7"/>
      <c r="H543" s="7"/>
      <c r="I543" s="11"/>
    </row>
    <row r="544" spans="7:9" ht="14.25" customHeight="1" x14ac:dyDescent="0.35">
      <c r="G544" s="7"/>
      <c r="H544" s="7"/>
      <c r="I544" s="11"/>
    </row>
    <row r="545" spans="7:9" ht="14.25" customHeight="1" x14ac:dyDescent="0.35">
      <c r="G545" s="7"/>
      <c r="H545" s="7"/>
      <c r="I545" s="11"/>
    </row>
    <row r="546" spans="7:9" ht="14.25" customHeight="1" x14ac:dyDescent="0.35">
      <c r="G546" s="7"/>
      <c r="H546" s="7"/>
      <c r="I546" s="11"/>
    </row>
    <row r="547" spans="7:9" ht="14.25" customHeight="1" x14ac:dyDescent="0.35">
      <c r="G547" s="7"/>
      <c r="H547" s="7"/>
      <c r="I547" s="11"/>
    </row>
    <row r="548" spans="7:9" ht="14.25" customHeight="1" x14ac:dyDescent="0.35">
      <c r="G548" s="7"/>
      <c r="H548" s="7"/>
      <c r="I548" s="11"/>
    </row>
    <row r="549" spans="7:9" ht="14.25" customHeight="1" x14ac:dyDescent="0.35">
      <c r="G549" s="7"/>
      <c r="H549" s="7"/>
      <c r="I549" s="11"/>
    </row>
    <row r="550" spans="7:9" ht="14.25" customHeight="1" x14ac:dyDescent="0.35">
      <c r="G550" s="7"/>
      <c r="H550" s="7"/>
      <c r="I550" s="11"/>
    </row>
    <row r="551" spans="7:9" ht="14.25" customHeight="1" x14ac:dyDescent="0.35">
      <c r="G551" s="7"/>
      <c r="H551" s="7"/>
      <c r="I551" s="11"/>
    </row>
    <row r="552" spans="7:9" ht="14.25" customHeight="1" x14ac:dyDescent="0.35">
      <c r="G552" s="7"/>
      <c r="H552" s="7"/>
      <c r="I552" s="11"/>
    </row>
    <row r="553" spans="7:9" ht="14.25" customHeight="1" x14ac:dyDescent="0.35">
      <c r="G553" s="7"/>
      <c r="H553" s="7"/>
      <c r="I553" s="11"/>
    </row>
    <row r="554" spans="7:9" ht="14.25" customHeight="1" x14ac:dyDescent="0.35">
      <c r="G554" s="7"/>
      <c r="H554" s="7"/>
      <c r="I554" s="11"/>
    </row>
    <row r="555" spans="7:9" ht="14.25" customHeight="1" x14ac:dyDescent="0.35">
      <c r="G555" s="7"/>
      <c r="H555" s="7"/>
      <c r="I555" s="11"/>
    </row>
    <row r="556" spans="7:9" ht="14.25" customHeight="1" x14ac:dyDescent="0.35">
      <c r="G556" s="7"/>
      <c r="H556" s="7"/>
      <c r="I556" s="11"/>
    </row>
    <row r="557" spans="7:9" ht="14.25" customHeight="1" x14ac:dyDescent="0.35">
      <c r="G557" s="7"/>
      <c r="H557" s="7"/>
      <c r="I557" s="11"/>
    </row>
    <row r="558" spans="7:9" ht="14.25" customHeight="1" x14ac:dyDescent="0.35">
      <c r="G558" s="7"/>
      <c r="H558" s="7"/>
      <c r="I558" s="11"/>
    </row>
    <row r="559" spans="7:9" ht="14.25" customHeight="1" x14ac:dyDescent="0.35">
      <c r="G559" s="7"/>
      <c r="H559" s="7"/>
      <c r="I559" s="11"/>
    </row>
    <row r="560" spans="7:9" ht="14.25" customHeight="1" x14ac:dyDescent="0.35">
      <c r="G560" s="7"/>
      <c r="H560" s="7"/>
      <c r="I560" s="11"/>
    </row>
    <row r="561" spans="7:9" ht="14.25" customHeight="1" x14ac:dyDescent="0.35">
      <c r="G561" s="7"/>
      <c r="H561" s="7"/>
      <c r="I561" s="11"/>
    </row>
    <row r="562" spans="7:9" ht="14.25" customHeight="1" x14ac:dyDescent="0.35">
      <c r="G562" s="7"/>
      <c r="H562" s="7"/>
      <c r="I562" s="11"/>
    </row>
    <row r="563" spans="7:9" ht="14.25" customHeight="1" x14ac:dyDescent="0.35">
      <c r="G563" s="7"/>
      <c r="H563" s="7"/>
      <c r="I563" s="11"/>
    </row>
    <row r="564" spans="7:9" ht="14.25" customHeight="1" x14ac:dyDescent="0.35">
      <c r="G564" s="7"/>
      <c r="H564" s="7"/>
      <c r="I564" s="11"/>
    </row>
    <row r="565" spans="7:9" ht="14.25" customHeight="1" x14ac:dyDescent="0.35">
      <c r="G565" s="7"/>
      <c r="H565" s="7"/>
      <c r="I565" s="11"/>
    </row>
    <row r="566" spans="7:9" ht="14.25" customHeight="1" x14ac:dyDescent="0.35">
      <c r="G566" s="7"/>
      <c r="H566" s="7"/>
      <c r="I566" s="11"/>
    </row>
    <row r="567" spans="7:9" ht="14.25" customHeight="1" x14ac:dyDescent="0.35">
      <c r="G567" s="7"/>
      <c r="H567" s="7"/>
      <c r="I567" s="11"/>
    </row>
    <row r="568" spans="7:9" ht="14.25" customHeight="1" x14ac:dyDescent="0.35">
      <c r="G568" s="7"/>
      <c r="H568" s="7"/>
      <c r="I568" s="11"/>
    </row>
    <row r="569" spans="7:9" ht="14.25" customHeight="1" x14ac:dyDescent="0.35">
      <c r="G569" s="7"/>
      <c r="H569" s="7"/>
      <c r="I569" s="11"/>
    </row>
    <row r="570" spans="7:9" ht="14.25" customHeight="1" x14ac:dyDescent="0.35">
      <c r="G570" s="7"/>
      <c r="H570" s="7"/>
      <c r="I570" s="11"/>
    </row>
    <row r="571" spans="7:9" ht="14.25" customHeight="1" x14ac:dyDescent="0.35">
      <c r="G571" s="7"/>
      <c r="H571" s="7"/>
      <c r="I571" s="11"/>
    </row>
    <row r="572" spans="7:9" ht="14.25" customHeight="1" x14ac:dyDescent="0.35">
      <c r="G572" s="7"/>
      <c r="H572" s="7"/>
      <c r="I572" s="11"/>
    </row>
    <row r="573" spans="7:9" ht="14.25" customHeight="1" x14ac:dyDescent="0.35">
      <c r="G573" s="7"/>
      <c r="H573" s="7"/>
      <c r="I573" s="11"/>
    </row>
    <row r="574" spans="7:9" ht="14.25" customHeight="1" x14ac:dyDescent="0.35">
      <c r="G574" s="7"/>
      <c r="H574" s="7"/>
      <c r="I574" s="11"/>
    </row>
    <row r="575" spans="7:9" ht="14.25" customHeight="1" x14ac:dyDescent="0.35">
      <c r="G575" s="7"/>
      <c r="H575" s="7"/>
      <c r="I575" s="11"/>
    </row>
    <row r="576" spans="7:9" ht="14.25" customHeight="1" x14ac:dyDescent="0.35">
      <c r="G576" s="7"/>
      <c r="H576" s="7"/>
      <c r="I576" s="11"/>
    </row>
    <row r="577" spans="7:9" ht="14.25" customHeight="1" x14ac:dyDescent="0.35">
      <c r="G577" s="7"/>
      <c r="H577" s="7"/>
      <c r="I577" s="11"/>
    </row>
    <row r="578" spans="7:9" ht="14.25" customHeight="1" x14ac:dyDescent="0.35">
      <c r="G578" s="7"/>
      <c r="H578" s="7"/>
      <c r="I578" s="11"/>
    </row>
    <row r="579" spans="7:9" ht="14.25" customHeight="1" x14ac:dyDescent="0.35">
      <c r="G579" s="7"/>
      <c r="H579" s="7"/>
      <c r="I579" s="11"/>
    </row>
    <row r="580" spans="7:9" ht="14.25" customHeight="1" x14ac:dyDescent="0.35">
      <c r="G580" s="7"/>
      <c r="H580" s="7"/>
      <c r="I580" s="11"/>
    </row>
    <row r="581" spans="7:9" ht="14.25" customHeight="1" x14ac:dyDescent="0.35">
      <c r="G581" s="7"/>
      <c r="H581" s="7"/>
      <c r="I581" s="11"/>
    </row>
    <row r="582" spans="7:9" ht="14.25" customHeight="1" x14ac:dyDescent="0.35">
      <c r="G582" s="7"/>
      <c r="H582" s="7"/>
      <c r="I582" s="11"/>
    </row>
    <row r="583" spans="7:9" ht="14.25" customHeight="1" x14ac:dyDescent="0.35">
      <c r="G583" s="7"/>
      <c r="H583" s="7"/>
      <c r="I583" s="11"/>
    </row>
    <row r="584" spans="7:9" ht="14.25" customHeight="1" x14ac:dyDescent="0.35">
      <c r="G584" s="7"/>
      <c r="H584" s="7"/>
      <c r="I584" s="11"/>
    </row>
    <row r="585" spans="7:9" ht="14.25" customHeight="1" x14ac:dyDescent="0.35">
      <c r="G585" s="7"/>
      <c r="H585" s="7"/>
      <c r="I585" s="11"/>
    </row>
    <row r="586" spans="7:9" ht="14.25" customHeight="1" x14ac:dyDescent="0.35">
      <c r="G586" s="7"/>
      <c r="H586" s="7"/>
      <c r="I586" s="11"/>
    </row>
    <row r="587" spans="7:9" ht="14.25" customHeight="1" x14ac:dyDescent="0.35">
      <c r="G587" s="7"/>
      <c r="H587" s="7"/>
      <c r="I587" s="11"/>
    </row>
    <row r="588" spans="7:9" ht="14.25" customHeight="1" x14ac:dyDescent="0.35">
      <c r="G588" s="7"/>
      <c r="H588" s="7"/>
      <c r="I588" s="11"/>
    </row>
    <row r="589" spans="7:9" ht="14.25" customHeight="1" x14ac:dyDescent="0.35">
      <c r="G589" s="7"/>
      <c r="H589" s="7"/>
      <c r="I589" s="11"/>
    </row>
    <row r="590" spans="7:9" ht="14.25" customHeight="1" x14ac:dyDescent="0.35">
      <c r="G590" s="7"/>
      <c r="H590" s="7"/>
      <c r="I590" s="11"/>
    </row>
    <row r="591" spans="7:9" ht="14.25" customHeight="1" x14ac:dyDescent="0.35">
      <c r="G591" s="7"/>
      <c r="H591" s="7"/>
      <c r="I591" s="11"/>
    </row>
    <row r="592" spans="7:9" ht="14.25" customHeight="1" x14ac:dyDescent="0.35">
      <c r="G592" s="7"/>
      <c r="H592" s="7"/>
      <c r="I592" s="11"/>
    </row>
    <row r="593" spans="7:9" ht="14.25" customHeight="1" x14ac:dyDescent="0.35">
      <c r="G593" s="7"/>
      <c r="H593" s="7"/>
      <c r="I593" s="11"/>
    </row>
    <row r="594" spans="7:9" ht="14.25" customHeight="1" x14ac:dyDescent="0.35">
      <c r="G594" s="7"/>
      <c r="H594" s="7"/>
      <c r="I594" s="11"/>
    </row>
    <row r="595" spans="7:9" ht="14.25" customHeight="1" x14ac:dyDescent="0.35">
      <c r="G595" s="7"/>
      <c r="H595" s="7"/>
      <c r="I595" s="11"/>
    </row>
    <row r="596" spans="7:9" ht="14.25" customHeight="1" x14ac:dyDescent="0.35">
      <c r="G596" s="7"/>
      <c r="H596" s="7"/>
      <c r="I596" s="11"/>
    </row>
    <row r="597" spans="7:9" ht="14.25" customHeight="1" x14ac:dyDescent="0.35">
      <c r="G597" s="7"/>
      <c r="H597" s="7"/>
      <c r="I597" s="11"/>
    </row>
    <row r="598" spans="7:9" ht="14.25" customHeight="1" x14ac:dyDescent="0.35">
      <c r="G598" s="7"/>
      <c r="H598" s="7"/>
      <c r="I598" s="11"/>
    </row>
    <row r="599" spans="7:9" ht="14.25" customHeight="1" x14ac:dyDescent="0.35">
      <c r="G599" s="7"/>
      <c r="H599" s="7"/>
      <c r="I599" s="11"/>
    </row>
    <row r="600" spans="7:9" ht="14.25" customHeight="1" x14ac:dyDescent="0.35">
      <c r="G600" s="7"/>
      <c r="H600" s="7"/>
      <c r="I600" s="11"/>
    </row>
    <row r="601" spans="7:9" ht="14.25" customHeight="1" x14ac:dyDescent="0.35">
      <c r="G601" s="7"/>
      <c r="H601" s="7"/>
      <c r="I601" s="11"/>
    </row>
    <row r="602" spans="7:9" ht="14.25" customHeight="1" x14ac:dyDescent="0.35">
      <c r="G602" s="7"/>
      <c r="H602" s="7"/>
      <c r="I602" s="11"/>
    </row>
    <row r="603" spans="7:9" ht="14.25" customHeight="1" x14ac:dyDescent="0.35">
      <c r="G603" s="7"/>
      <c r="H603" s="7"/>
      <c r="I603" s="11"/>
    </row>
    <row r="604" spans="7:9" ht="14.25" customHeight="1" x14ac:dyDescent="0.35">
      <c r="G604" s="7"/>
      <c r="H604" s="7"/>
      <c r="I604" s="11"/>
    </row>
    <row r="605" spans="7:9" ht="14.25" customHeight="1" x14ac:dyDescent="0.35">
      <c r="G605" s="7"/>
      <c r="H605" s="7"/>
      <c r="I605" s="11"/>
    </row>
    <row r="606" spans="7:9" ht="14.25" customHeight="1" x14ac:dyDescent="0.35">
      <c r="G606" s="7"/>
      <c r="H606" s="7"/>
      <c r="I606" s="11"/>
    </row>
    <row r="607" spans="7:9" ht="14.25" customHeight="1" x14ac:dyDescent="0.35">
      <c r="G607" s="7"/>
      <c r="H607" s="7"/>
      <c r="I607" s="11"/>
    </row>
    <row r="608" spans="7:9" ht="14.25" customHeight="1" x14ac:dyDescent="0.35">
      <c r="G608" s="7"/>
      <c r="H608" s="7"/>
      <c r="I608" s="11"/>
    </row>
    <row r="609" spans="7:9" ht="14.25" customHeight="1" x14ac:dyDescent="0.35">
      <c r="G609" s="7"/>
      <c r="H609" s="7"/>
      <c r="I609" s="11"/>
    </row>
    <row r="610" spans="7:9" ht="14.25" customHeight="1" x14ac:dyDescent="0.35">
      <c r="G610" s="7"/>
      <c r="H610" s="7"/>
      <c r="I610" s="11"/>
    </row>
    <row r="611" spans="7:9" ht="14.25" customHeight="1" x14ac:dyDescent="0.35">
      <c r="G611" s="7"/>
      <c r="H611" s="7"/>
      <c r="I611" s="11"/>
    </row>
    <row r="612" spans="7:9" ht="14.25" customHeight="1" x14ac:dyDescent="0.35">
      <c r="G612" s="7"/>
      <c r="H612" s="7"/>
      <c r="I612" s="11"/>
    </row>
    <row r="613" spans="7:9" ht="14.25" customHeight="1" x14ac:dyDescent="0.35">
      <c r="G613" s="7"/>
      <c r="H613" s="7"/>
      <c r="I613" s="11"/>
    </row>
    <row r="614" spans="7:9" ht="14.25" customHeight="1" x14ac:dyDescent="0.35">
      <c r="G614" s="7"/>
      <c r="H614" s="7"/>
      <c r="I614" s="11"/>
    </row>
    <row r="615" spans="7:9" ht="14.25" customHeight="1" x14ac:dyDescent="0.35">
      <c r="G615" s="7"/>
      <c r="H615" s="7"/>
      <c r="I615" s="11"/>
    </row>
    <row r="616" spans="7:9" ht="14.25" customHeight="1" x14ac:dyDescent="0.35">
      <c r="G616" s="7"/>
      <c r="H616" s="7"/>
      <c r="I616" s="11"/>
    </row>
    <row r="617" spans="7:9" ht="14.25" customHeight="1" x14ac:dyDescent="0.35">
      <c r="G617" s="7"/>
      <c r="H617" s="7"/>
      <c r="I617" s="11"/>
    </row>
    <row r="618" spans="7:9" ht="14.25" customHeight="1" x14ac:dyDescent="0.35">
      <c r="G618" s="7"/>
      <c r="H618" s="7"/>
      <c r="I618" s="11"/>
    </row>
    <row r="619" spans="7:9" ht="14.25" customHeight="1" x14ac:dyDescent="0.35">
      <c r="G619" s="7"/>
      <c r="H619" s="7"/>
      <c r="I619" s="11"/>
    </row>
    <row r="620" spans="7:9" ht="14.25" customHeight="1" x14ac:dyDescent="0.35">
      <c r="G620" s="7"/>
      <c r="H620" s="7"/>
      <c r="I620" s="11"/>
    </row>
    <row r="621" spans="7:9" ht="14.25" customHeight="1" x14ac:dyDescent="0.35">
      <c r="G621" s="7"/>
      <c r="H621" s="7"/>
      <c r="I621" s="11"/>
    </row>
    <row r="622" spans="7:9" ht="14.25" customHeight="1" x14ac:dyDescent="0.35">
      <c r="G622" s="7"/>
      <c r="H622" s="7"/>
      <c r="I622" s="11"/>
    </row>
    <row r="623" spans="7:9" ht="14.25" customHeight="1" x14ac:dyDescent="0.35">
      <c r="G623" s="7"/>
      <c r="H623" s="7"/>
      <c r="I623" s="11"/>
    </row>
    <row r="624" spans="7:9" ht="14.25" customHeight="1" x14ac:dyDescent="0.35">
      <c r="G624" s="7"/>
      <c r="H624" s="7"/>
      <c r="I624" s="11"/>
    </row>
    <row r="625" spans="7:9" ht="14.25" customHeight="1" x14ac:dyDescent="0.35">
      <c r="G625" s="7"/>
      <c r="H625" s="7"/>
      <c r="I625" s="11"/>
    </row>
    <row r="626" spans="7:9" ht="14.25" customHeight="1" x14ac:dyDescent="0.35">
      <c r="G626" s="7"/>
      <c r="H626" s="7"/>
      <c r="I626" s="11"/>
    </row>
    <row r="627" spans="7:9" ht="14.25" customHeight="1" x14ac:dyDescent="0.35">
      <c r="G627" s="7"/>
      <c r="H627" s="7"/>
      <c r="I627" s="11"/>
    </row>
    <row r="628" spans="7:9" ht="14.25" customHeight="1" x14ac:dyDescent="0.35">
      <c r="G628" s="7"/>
      <c r="H628" s="7"/>
      <c r="I628" s="11"/>
    </row>
    <row r="629" spans="7:9" ht="14.25" customHeight="1" x14ac:dyDescent="0.35">
      <c r="G629" s="7"/>
      <c r="H629" s="7"/>
      <c r="I629" s="11"/>
    </row>
    <row r="630" spans="7:9" ht="14.25" customHeight="1" x14ac:dyDescent="0.35">
      <c r="G630" s="7"/>
      <c r="H630" s="7"/>
      <c r="I630" s="11"/>
    </row>
    <row r="631" spans="7:9" ht="14.25" customHeight="1" x14ac:dyDescent="0.35">
      <c r="G631" s="7"/>
      <c r="H631" s="7"/>
      <c r="I631" s="11"/>
    </row>
    <row r="632" spans="7:9" ht="14.25" customHeight="1" x14ac:dyDescent="0.35">
      <c r="G632" s="7"/>
      <c r="H632" s="7"/>
      <c r="I632" s="11"/>
    </row>
    <row r="633" spans="7:9" ht="14.25" customHeight="1" x14ac:dyDescent="0.35">
      <c r="G633" s="7"/>
      <c r="H633" s="7"/>
      <c r="I633" s="11"/>
    </row>
    <row r="634" spans="7:9" ht="14.25" customHeight="1" x14ac:dyDescent="0.35">
      <c r="G634" s="7"/>
      <c r="H634" s="7"/>
      <c r="I634" s="11"/>
    </row>
    <row r="635" spans="7:9" ht="14.25" customHeight="1" x14ac:dyDescent="0.35">
      <c r="G635" s="7"/>
      <c r="H635" s="7"/>
      <c r="I635" s="11"/>
    </row>
    <row r="636" spans="7:9" ht="14.25" customHeight="1" x14ac:dyDescent="0.35">
      <c r="G636" s="7"/>
      <c r="H636" s="7"/>
      <c r="I636" s="11"/>
    </row>
    <row r="637" spans="7:9" ht="14.25" customHeight="1" x14ac:dyDescent="0.35">
      <c r="G637" s="7"/>
      <c r="H637" s="7"/>
      <c r="I637" s="11"/>
    </row>
    <row r="638" spans="7:9" ht="14.25" customHeight="1" x14ac:dyDescent="0.35">
      <c r="G638" s="7"/>
      <c r="H638" s="7"/>
      <c r="I638" s="11"/>
    </row>
    <row r="639" spans="7:9" ht="14.25" customHeight="1" x14ac:dyDescent="0.35">
      <c r="G639" s="7"/>
      <c r="H639" s="7"/>
      <c r="I639" s="11"/>
    </row>
    <row r="640" spans="7:9" ht="14.25" customHeight="1" x14ac:dyDescent="0.35">
      <c r="G640" s="7"/>
      <c r="H640" s="7"/>
      <c r="I640" s="11"/>
    </row>
    <row r="641" spans="7:9" ht="14.25" customHeight="1" x14ac:dyDescent="0.35">
      <c r="G641" s="7"/>
      <c r="H641" s="7"/>
      <c r="I641" s="11"/>
    </row>
    <row r="642" spans="7:9" ht="14.25" customHeight="1" x14ac:dyDescent="0.35">
      <c r="G642" s="7"/>
      <c r="H642" s="7"/>
      <c r="I642" s="11"/>
    </row>
    <row r="643" spans="7:9" ht="14.25" customHeight="1" x14ac:dyDescent="0.35">
      <c r="G643" s="7"/>
      <c r="H643" s="7"/>
      <c r="I643" s="11"/>
    </row>
    <row r="644" spans="7:9" ht="14.25" customHeight="1" x14ac:dyDescent="0.35">
      <c r="G644" s="7"/>
      <c r="H644" s="7"/>
      <c r="I644" s="11"/>
    </row>
    <row r="645" spans="7:9" ht="14.25" customHeight="1" x14ac:dyDescent="0.35">
      <c r="G645" s="7"/>
      <c r="H645" s="7"/>
      <c r="I645" s="11"/>
    </row>
    <row r="646" spans="7:9" ht="14.25" customHeight="1" x14ac:dyDescent="0.35">
      <c r="G646" s="7"/>
      <c r="H646" s="7"/>
      <c r="I646" s="11"/>
    </row>
    <row r="647" spans="7:9" ht="14.25" customHeight="1" x14ac:dyDescent="0.35">
      <c r="G647" s="7"/>
      <c r="H647" s="7"/>
      <c r="I647" s="11"/>
    </row>
    <row r="648" spans="7:9" ht="14.25" customHeight="1" x14ac:dyDescent="0.35">
      <c r="G648" s="7"/>
      <c r="H648" s="7"/>
      <c r="I648" s="11"/>
    </row>
    <row r="649" spans="7:9" ht="14.25" customHeight="1" x14ac:dyDescent="0.35">
      <c r="G649" s="7"/>
      <c r="H649" s="7"/>
      <c r="I649" s="11"/>
    </row>
    <row r="650" spans="7:9" ht="14.25" customHeight="1" x14ac:dyDescent="0.35">
      <c r="G650" s="7"/>
      <c r="H650" s="7"/>
      <c r="I650" s="11"/>
    </row>
    <row r="651" spans="7:9" ht="14.25" customHeight="1" x14ac:dyDescent="0.35">
      <c r="G651" s="7"/>
      <c r="H651" s="7"/>
      <c r="I651" s="11"/>
    </row>
    <row r="652" spans="7:9" ht="14.25" customHeight="1" x14ac:dyDescent="0.35">
      <c r="G652" s="7"/>
      <c r="H652" s="7"/>
      <c r="I652" s="11"/>
    </row>
    <row r="653" spans="7:9" ht="14.25" customHeight="1" x14ac:dyDescent="0.35">
      <c r="G653" s="7"/>
      <c r="H653" s="7"/>
      <c r="I653" s="11"/>
    </row>
    <row r="654" spans="7:9" ht="14.25" customHeight="1" x14ac:dyDescent="0.35">
      <c r="G654" s="7"/>
      <c r="H654" s="7"/>
      <c r="I654" s="11"/>
    </row>
    <row r="655" spans="7:9" ht="14.25" customHeight="1" x14ac:dyDescent="0.35">
      <c r="G655" s="7"/>
      <c r="H655" s="7"/>
      <c r="I655" s="11"/>
    </row>
    <row r="656" spans="7:9" ht="14.25" customHeight="1" x14ac:dyDescent="0.35">
      <c r="G656" s="7"/>
      <c r="H656" s="7"/>
      <c r="I656" s="11"/>
    </row>
    <row r="657" spans="7:9" ht="14.25" customHeight="1" x14ac:dyDescent="0.35">
      <c r="G657" s="7"/>
      <c r="H657" s="7"/>
      <c r="I657" s="11"/>
    </row>
    <row r="658" spans="7:9" ht="14.25" customHeight="1" x14ac:dyDescent="0.35">
      <c r="G658" s="7"/>
      <c r="H658" s="7"/>
      <c r="I658" s="11"/>
    </row>
    <row r="659" spans="7:9" ht="14.25" customHeight="1" x14ac:dyDescent="0.35">
      <c r="G659" s="7"/>
      <c r="H659" s="7"/>
      <c r="I659" s="11"/>
    </row>
    <row r="660" spans="7:9" ht="14.25" customHeight="1" x14ac:dyDescent="0.35">
      <c r="G660" s="7"/>
      <c r="H660" s="7"/>
      <c r="I660" s="11"/>
    </row>
    <row r="661" spans="7:9" ht="14.25" customHeight="1" x14ac:dyDescent="0.35">
      <c r="G661" s="7"/>
      <c r="H661" s="7"/>
      <c r="I661" s="11"/>
    </row>
    <row r="662" spans="7:9" ht="14.25" customHeight="1" x14ac:dyDescent="0.35">
      <c r="G662" s="7"/>
      <c r="H662" s="7"/>
      <c r="I662" s="11"/>
    </row>
    <row r="663" spans="7:9" ht="14.25" customHeight="1" x14ac:dyDescent="0.35">
      <c r="G663" s="7"/>
      <c r="H663" s="7"/>
      <c r="I663" s="11"/>
    </row>
    <row r="664" spans="7:9" ht="14.25" customHeight="1" x14ac:dyDescent="0.35">
      <c r="G664" s="7"/>
      <c r="H664" s="7"/>
      <c r="I664" s="11"/>
    </row>
    <row r="665" spans="7:9" ht="14.25" customHeight="1" x14ac:dyDescent="0.35">
      <c r="G665" s="7"/>
      <c r="H665" s="7"/>
      <c r="I665" s="11"/>
    </row>
    <row r="666" spans="7:9" ht="14.25" customHeight="1" x14ac:dyDescent="0.35">
      <c r="G666" s="7"/>
      <c r="H666" s="7"/>
      <c r="I666" s="11"/>
    </row>
    <row r="667" spans="7:9" ht="14.25" customHeight="1" x14ac:dyDescent="0.35">
      <c r="G667" s="7"/>
      <c r="H667" s="7"/>
      <c r="I667" s="11"/>
    </row>
    <row r="668" spans="7:9" ht="14.25" customHeight="1" x14ac:dyDescent="0.35">
      <c r="G668" s="7"/>
      <c r="H668" s="7"/>
      <c r="I668" s="11"/>
    </row>
    <row r="669" spans="7:9" ht="14.25" customHeight="1" x14ac:dyDescent="0.35">
      <c r="G669" s="7"/>
      <c r="H669" s="7"/>
      <c r="I669" s="11"/>
    </row>
    <row r="670" spans="7:9" ht="14.25" customHeight="1" x14ac:dyDescent="0.35">
      <c r="G670" s="7"/>
      <c r="H670" s="7"/>
      <c r="I670" s="11"/>
    </row>
    <row r="671" spans="7:9" ht="14.25" customHeight="1" x14ac:dyDescent="0.35">
      <c r="G671" s="7"/>
      <c r="H671" s="7"/>
      <c r="I671" s="11"/>
    </row>
    <row r="672" spans="7:9" ht="14.25" customHeight="1" x14ac:dyDescent="0.35">
      <c r="G672" s="7"/>
      <c r="H672" s="7"/>
      <c r="I672" s="11"/>
    </row>
    <row r="673" spans="7:9" ht="14.25" customHeight="1" x14ac:dyDescent="0.35">
      <c r="G673" s="7"/>
      <c r="H673" s="7"/>
      <c r="I673" s="11"/>
    </row>
    <row r="674" spans="7:9" ht="14.25" customHeight="1" x14ac:dyDescent="0.35">
      <c r="G674" s="7"/>
      <c r="H674" s="7"/>
      <c r="I674" s="11"/>
    </row>
    <row r="675" spans="7:9" ht="14.25" customHeight="1" x14ac:dyDescent="0.35">
      <c r="G675" s="7"/>
      <c r="H675" s="7"/>
      <c r="I675" s="11"/>
    </row>
    <row r="676" spans="7:9" ht="14.25" customHeight="1" x14ac:dyDescent="0.35">
      <c r="G676" s="7"/>
      <c r="H676" s="7"/>
      <c r="I676" s="11"/>
    </row>
    <row r="677" spans="7:9" ht="14.25" customHeight="1" x14ac:dyDescent="0.35">
      <c r="G677" s="7"/>
      <c r="H677" s="7"/>
      <c r="I677" s="11"/>
    </row>
    <row r="678" spans="7:9" ht="14.25" customHeight="1" x14ac:dyDescent="0.35">
      <c r="G678" s="7"/>
      <c r="H678" s="7"/>
      <c r="I678" s="11"/>
    </row>
    <row r="679" spans="7:9" ht="14.25" customHeight="1" x14ac:dyDescent="0.35">
      <c r="G679" s="7"/>
      <c r="H679" s="7"/>
      <c r="I679" s="11"/>
    </row>
    <row r="680" spans="7:9" ht="14.25" customHeight="1" x14ac:dyDescent="0.35">
      <c r="G680" s="7"/>
      <c r="H680" s="7"/>
      <c r="I680" s="11"/>
    </row>
    <row r="681" spans="7:9" ht="14.25" customHeight="1" x14ac:dyDescent="0.35">
      <c r="G681" s="7"/>
      <c r="H681" s="7"/>
      <c r="I681" s="11"/>
    </row>
    <row r="682" spans="7:9" ht="14.25" customHeight="1" x14ac:dyDescent="0.35">
      <c r="G682" s="7"/>
      <c r="H682" s="7"/>
      <c r="I682" s="11"/>
    </row>
    <row r="683" spans="7:9" ht="14.25" customHeight="1" x14ac:dyDescent="0.35">
      <c r="G683" s="7"/>
      <c r="H683" s="7"/>
      <c r="I683" s="11"/>
    </row>
    <row r="684" spans="7:9" ht="14.25" customHeight="1" x14ac:dyDescent="0.35">
      <c r="G684" s="7"/>
      <c r="H684" s="7"/>
      <c r="I684" s="11"/>
    </row>
    <row r="685" spans="7:9" ht="14.25" customHeight="1" x14ac:dyDescent="0.35">
      <c r="G685" s="7"/>
      <c r="H685" s="7"/>
      <c r="I685" s="11"/>
    </row>
    <row r="686" spans="7:9" ht="14.25" customHeight="1" x14ac:dyDescent="0.35">
      <c r="G686" s="7"/>
      <c r="H686" s="7"/>
      <c r="I686" s="11"/>
    </row>
    <row r="687" spans="7:9" ht="14.25" customHeight="1" x14ac:dyDescent="0.35">
      <c r="G687" s="7"/>
      <c r="H687" s="7"/>
      <c r="I687" s="11"/>
    </row>
    <row r="688" spans="7:9" ht="14.25" customHeight="1" x14ac:dyDescent="0.35">
      <c r="G688" s="7"/>
      <c r="H688" s="7"/>
      <c r="I688" s="11"/>
    </row>
    <row r="689" spans="7:9" ht="14.25" customHeight="1" x14ac:dyDescent="0.35">
      <c r="G689" s="7"/>
      <c r="H689" s="7"/>
      <c r="I689" s="11"/>
    </row>
    <row r="690" spans="7:9" ht="14.25" customHeight="1" x14ac:dyDescent="0.35">
      <c r="G690" s="7"/>
      <c r="H690" s="7"/>
      <c r="I690" s="11"/>
    </row>
    <row r="691" spans="7:9" ht="14.25" customHeight="1" x14ac:dyDescent="0.35">
      <c r="G691" s="7"/>
      <c r="H691" s="7"/>
      <c r="I691" s="11"/>
    </row>
    <row r="692" spans="7:9" ht="14.25" customHeight="1" x14ac:dyDescent="0.35">
      <c r="G692" s="7"/>
      <c r="H692" s="7"/>
      <c r="I692" s="11"/>
    </row>
    <row r="693" spans="7:9" ht="14.25" customHeight="1" x14ac:dyDescent="0.35">
      <c r="G693" s="7"/>
      <c r="H693" s="7"/>
      <c r="I693" s="11"/>
    </row>
    <row r="694" spans="7:9" ht="14.25" customHeight="1" x14ac:dyDescent="0.35">
      <c r="G694" s="7"/>
      <c r="H694" s="7"/>
      <c r="I694" s="11"/>
    </row>
    <row r="695" spans="7:9" ht="14.25" customHeight="1" x14ac:dyDescent="0.35">
      <c r="G695" s="7"/>
      <c r="H695" s="7"/>
      <c r="I695" s="11"/>
    </row>
    <row r="696" spans="7:9" ht="14.25" customHeight="1" x14ac:dyDescent="0.35">
      <c r="G696" s="7"/>
      <c r="H696" s="7"/>
      <c r="I696" s="11"/>
    </row>
    <row r="697" spans="7:9" ht="14.25" customHeight="1" x14ac:dyDescent="0.35">
      <c r="G697" s="7"/>
      <c r="H697" s="7"/>
      <c r="I697" s="11"/>
    </row>
    <row r="698" spans="7:9" ht="14.25" customHeight="1" x14ac:dyDescent="0.35">
      <c r="G698" s="7"/>
      <c r="H698" s="7"/>
      <c r="I698" s="11"/>
    </row>
    <row r="699" spans="7:9" ht="14.25" customHeight="1" x14ac:dyDescent="0.35">
      <c r="G699" s="7"/>
      <c r="H699" s="7"/>
      <c r="I699" s="11"/>
    </row>
    <row r="700" spans="7:9" ht="14.25" customHeight="1" x14ac:dyDescent="0.35">
      <c r="G700" s="7"/>
      <c r="H700" s="7"/>
      <c r="I700" s="11"/>
    </row>
    <row r="701" spans="7:9" ht="14.25" customHeight="1" x14ac:dyDescent="0.35">
      <c r="G701" s="7"/>
      <c r="H701" s="7"/>
      <c r="I701" s="11"/>
    </row>
    <row r="702" spans="7:9" ht="14.25" customHeight="1" x14ac:dyDescent="0.35">
      <c r="G702" s="7"/>
      <c r="H702" s="7"/>
      <c r="I702" s="11"/>
    </row>
    <row r="703" spans="7:9" ht="14.25" customHeight="1" x14ac:dyDescent="0.35">
      <c r="G703" s="7"/>
      <c r="H703" s="7"/>
      <c r="I703" s="11"/>
    </row>
    <row r="704" spans="7:9" ht="14.25" customHeight="1" x14ac:dyDescent="0.35">
      <c r="G704" s="7"/>
      <c r="H704" s="7"/>
      <c r="I704" s="11"/>
    </row>
    <row r="705" spans="7:9" ht="14.25" customHeight="1" x14ac:dyDescent="0.35">
      <c r="G705" s="7"/>
      <c r="H705" s="7"/>
      <c r="I705" s="11"/>
    </row>
    <row r="706" spans="7:9" ht="14.25" customHeight="1" x14ac:dyDescent="0.35">
      <c r="G706" s="7"/>
      <c r="H706" s="7"/>
      <c r="I706" s="11"/>
    </row>
    <row r="707" spans="7:9" ht="14.25" customHeight="1" x14ac:dyDescent="0.35">
      <c r="G707" s="7"/>
      <c r="H707" s="7"/>
      <c r="I707" s="11"/>
    </row>
    <row r="708" spans="7:9" ht="14.25" customHeight="1" x14ac:dyDescent="0.35">
      <c r="G708" s="7"/>
      <c r="H708" s="7"/>
      <c r="I708" s="11"/>
    </row>
    <row r="709" spans="7:9" ht="14.25" customHeight="1" x14ac:dyDescent="0.35">
      <c r="G709" s="7"/>
      <c r="H709" s="7"/>
      <c r="I709" s="11"/>
    </row>
    <row r="710" spans="7:9" ht="14.25" customHeight="1" x14ac:dyDescent="0.35">
      <c r="G710" s="7"/>
      <c r="H710" s="7"/>
      <c r="I710" s="11"/>
    </row>
    <row r="711" spans="7:9" ht="14.25" customHeight="1" x14ac:dyDescent="0.35">
      <c r="G711" s="7"/>
      <c r="H711" s="7"/>
      <c r="I711" s="11"/>
    </row>
    <row r="712" spans="7:9" ht="14.25" customHeight="1" x14ac:dyDescent="0.35">
      <c r="G712" s="7"/>
      <c r="H712" s="7"/>
      <c r="I712" s="11"/>
    </row>
    <row r="713" spans="7:9" ht="14.25" customHeight="1" x14ac:dyDescent="0.35">
      <c r="G713" s="7"/>
      <c r="H713" s="7"/>
      <c r="I713" s="11"/>
    </row>
    <row r="714" spans="7:9" ht="14.25" customHeight="1" x14ac:dyDescent="0.35">
      <c r="G714" s="7"/>
      <c r="H714" s="7"/>
      <c r="I714" s="11"/>
    </row>
    <row r="715" spans="7:9" ht="14.25" customHeight="1" x14ac:dyDescent="0.35">
      <c r="G715" s="7"/>
      <c r="H715" s="7"/>
      <c r="I715" s="11"/>
    </row>
    <row r="716" spans="7:9" ht="14.25" customHeight="1" x14ac:dyDescent="0.35">
      <c r="G716" s="7"/>
      <c r="H716" s="7"/>
      <c r="I716" s="11"/>
    </row>
    <row r="717" spans="7:9" ht="14.25" customHeight="1" x14ac:dyDescent="0.35">
      <c r="G717" s="7"/>
      <c r="H717" s="7"/>
      <c r="I717" s="11"/>
    </row>
    <row r="718" spans="7:9" ht="14.25" customHeight="1" x14ac:dyDescent="0.35">
      <c r="G718" s="7"/>
      <c r="H718" s="7"/>
      <c r="I718" s="11"/>
    </row>
    <row r="719" spans="7:9" ht="14.25" customHeight="1" x14ac:dyDescent="0.35">
      <c r="G719" s="7"/>
      <c r="H719" s="7"/>
      <c r="I719" s="11"/>
    </row>
    <row r="720" spans="7:9" ht="14.25" customHeight="1" x14ac:dyDescent="0.35">
      <c r="G720" s="7"/>
      <c r="H720" s="7"/>
      <c r="I720" s="11"/>
    </row>
    <row r="721" spans="7:9" ht="14.25" customHeight="1" x14ac:dyDescent="0.35">
      <c r="G721" s="7"/>
      <c r="H721" s="7"/>
      <c r="I721" s="11"/>
    </row>
    <row r="722" spans="7:9" ht="14.25" customHeight="1" x14ac:dyDescent="0.35">
      <c r="G722" s="7"/>
      <c r="H722" s="7"/>
      <c r="I722" s="11"/>
    </row>
    <row r="723" spans="7:9" ht="14.25" customHeight="1" x14ac:dyDescent="0.35">
      <c r="G723" s="7"/>
      <c r="H723" s="7"/>
      <c r="I723" s="11"/>
    </row>
    <row r="724" spans="7:9" ht="14.25" customHeight="1" x14ac:dyDescent="0.35">
      <c r="G724" s="7"/>
      <c r="H724" s="7"/>
      <c r="I724" s="11"/>
    </row>
    <row r="725" spans="7:9" ht="14.25" customHeight="1" x14ac:dyDescent="0.35">
      <c r="G725" s="7"/>
      <c r="H725" s="7"/>
      <c r="I725" s="11"/>
    </row>
    <row r="726" spans="7:9" ht="14.25" customHeight="1" x14ac:dyDescent="0.35">
      <c r="G726" s="7"/>
      <c r="H726" s="7"/>
      <c r="I726" s="11"/>
    </row>
    <row r="727" spans="7:9" ht="14.25" customHeight="1" x14ac:dyDescent="0.35">
      <c r="G727" s="7"/>
      <c r="H727" s="7"/>
      <c r="I727" s="11"/>
    </row>
    <row r="728" spans="7:9" ht="14.25" customHeight="1" x14ac:dyDescent="0.35">
      <c r="G728" s="7"/>
      <c r="H728" s="7"/>
      <c r="I728" s="11"/>
    </row>
    <row r="729" spans="7:9" ht="14.25" customHeight="1" x14ac:dyDescent="0.35">
      <c r="G729" s="7"/>
      <c r="H729" s="7"/>
      <c r="I729" s="11"/>
    </row>
    <row r="730" spans="7:9" ht="14.25" customHeight="1" x14ac:dyDescent="0.35">
      <c r="G730" s="7"/>
      <c r="H730" s="7"/>
      <c r="I730" s="11"/>
    </row>
    <row r="731" spans="7:9" ht="14.25" customHeight="1" x14ac:dyDescent="0.35">
      <c r="G731" s="7"/>
      <c r="H731" s="7"/>
      <c r="I731" s="11"/>
    </row>
    <row r="732" spans="7:9" ht="14.25" customHeight="1" x14ac:dyDescent="0.35">
      <c r="G732" s="7"/>
      <c r="H732" s="7"/>
      <c r="I732" s="11"/>
    </row>
    <row r="733" spans="7:9" ht="14.25" customHeight="1" x14ac:dyDescent="0.35">
      <c r="G733" s="7"/>
      <c r="H733" s="7"/>
      <c r="I733" s="11"/>
    </row>
    <row r="734" spans="7:9" ht="14.25" customHeight="1" x14ac:dyDescent="0.35">
      <c r="G734" s="7"/>
      <c r="H734" s="7"/>
      <c r="I734" s="11"/>
    </row>
    <row r="735" spans="7:9" ht="14.25" customHeight="1" x14ac:dyDescent="0.35">
      <c r="G735" s="7"/>
      <c r="H735" s="7"/>
      <c r="I735" s="11"/>
    </row>
    <row r="736" spans="7:9" ht="14.25" customHeight="1" x14ac:dyDescent="0.35">
      <c r="G736" s="7"/>
      <c r="H736" s="7"/>
      <c r="I736" s="11"/>
    </row>
    <row r="737" spans="7:9" ht="14.25" customHeight="1" x14ac:dyDescent="0.35">
      <c r="G737" s="7"/>
      <c r="H737" s="7"/>
      <c r="I737" s="11"/>
    </row>
    <row r="738" spans="7:9" ht="14.25" customHeight="1" x14ac:dyDescent="0.35">
      <c r="G738" s="7"/>
      <c r="H738" s="7"/>
      <c r="I738" s="11"/>
    </row>
    <row r="739" spans="7:9" ht="14.25" customHeight="1" x14ac:dyDescent="0.35">
      <c r="G739" s="7"/>
      <c r="H739" s="7"/>
      <c r="I739" s="11"/>
    </row>
    <row r="740" spans="7:9" ht="14.25" customHeight="1" x14ac:dyDescent="0.35">
      <c r="G740" s="7"/>
      <c r="H740" s="7"/>
      <c r="I740" s="11"/>
    </row>
    <row r="741" spans="7:9" ht="14.25" customHeight="1" x14ac:dyDescent="0.35">
      <c r="G741" s="7"/>
      <c r="H741" s="7"/>
      <c r="I741" s="11"/>
    </row>
    <row r="742" spans="7:9" ht="14.25" customHeight="1" x14ac:dyDescent="0.35">
      <c r="G742" s="7"/>
      <c r="H742" s="7"/>
      <c r="I742" s="11"/>
    </row>
    <row r="743" spans="7:9" ht="14.25" customHeight="1" x14ac:dyDescent="0.35">
      <c r="G743" s="7"/>
      <c r="H743" s="7"/>
      <c r="I743" s="11"/>
    </row>
    <row r="744" spans="7:9" ht="14.25" customHeight="1" x14ac:dyDescent="0.35">
      <c r="G744" s="7"/>
      <c r="H744" s="7"/>
      <c r="I744" s="11"/>
    </row>
    <row r="745" spans="7:9" ht="14.25" customHeight="1" x14ac:dyDescent="0.35">
      <c r="G745" s="7"/>
      <c r="H745" s="7"/>
      <c r="I745" s="11"/>
    </row>
    <row r="746" spans="7:9" ht="14.25" customHeight="1" x14ac:dyDescent="0.35">
      <c r="G746" s="7"/>
      <c r="H746" s="7"/>
      <c r="I746" s="11"/>
    </row>
    <row r="747" spans="7:9" ht="14.25" customHeight="1" x14ac:dyDescent="0.35">
      <c r="G747" s="7"/>
      <c r="H747" s="7"/>
      <c r="I747" s="11"/>
    </row>
    <row r="748" spans="7:9" ht="14.25" customHeight="1" x14ac:dyDescent="0.35">
      <c r="G748" s="7"/>
      <c r="H748" s="7"/>
      <c r="I748" s="11"/>
    </row>
    <row r="749" spans="7:9" ht="14.25" customHeight="1" x14ac:dyDescent="0.35">
      <c r="G749" s="7"/>
      <c r="H749" s="7"/>
      <c r="I749" s="11"/>
    </row>
    <row r="750" spans="7:9" ht="14.25" customHeight="1" x14ac:dyDescent="0.35">
      <c r="G750" s="7"/>
      <c r="H750" s="7"/>
      <c r="I750" s="11"/>
    </row>
    <row r="751" spans="7:9" ht="14.25" customHeight="1" x14ac:dyDescent="0.35">
      <c r="G751" s="7"/>
      <c r="H751" s="7"/>
      <c r="I751" s="11"/>
    </row>
    <row r="752" spans="7:9" ht="14.25" customHeight="1" x14ac:dyDescent="0.35">
      <c r="G752" s="7"/>
      <c r="H752" s="7"/>
      <c r="I752" s="11"/>
    </row>
    <row r="753" spans="7:9" ht="14.25" customHeight="1" x14ac:dyDescent="0.35">
      <c r="G753" s="7"/>
      <c r="H753" s="7"/>
      <c r="I753" s="11"/>
    </row>
    <row r="754" spans="7:9" ht="14.25" customHeight="1" x14ac:dyDescent="0.35">
      <c r="G754" s="7"/>
      <c r="H754" s="7"/>
      <c r="I754" s="11"/>
    </row>
    <row r="755" spans="7:9" ht="14.25" customHeight="1" x14ac:dyDescent="0.35">
      <c r="G755" s="7"/>
      <c r="H755" s="7"/>
      <c r="I755" s="11"/>
    </row>
    <row r="756" spans="7:9" ht="14.25" customHeight="1" x14ac:dyDescent="0.35">
      <c r="G756" s="7"/>
      <c r="H756" s="7"/>
      <c r="I756" s="11"/>
    </row>
    <row r="757" spans="7:9" ht="14.25" customHeight="1" x14ac:dyDescent="0.35">
      <c r="G757" s="7"/>
      <c r="H757" s="7"/>
      <c r="I757" s="11"/>
    </row>
    <row r="758" spans="7:9" ht="14.25" customHeight="1" x14ac:dyDescent="0.35">
      <c r="G758" s="7"/>
      <c r="H758" s="7"/>
      <c r="I758" s="11"/>
    </row>
    <row r="759" spans="7:9" ht="14.25" customHeight="1" x14ac:dyDescent="0.35">
      <c r="G759" s="7"/>
      <c r="H759" s="7"/>
      <c r="I759" s="11"/>
    </row>
    <row r="760" spans="7:9" ht="14.25" customHeight="1" x14ac:dyDescent="0.35">
      <c r="G760" s="7"/>
      <c r="H760" s="7"/>
      <c r="I760" s="11"/>
    </row>
    <row r="761" spans="7:9" ht="14.25" customHeight="1" x14ac:dyDescent="0.35">
      <c r="G761" s="7"/>
      <c r="H761" s="7"/>
      <c r="I761" s="11"/>
    </row>
    <row r="762" spans="7:9" ht="14.25" customHeight="1" x14ac:dyDescent="0.35">
      <c r="G762" s="7"/>
      <c r="H762" s="7"/>
      <c r="I762" s="11"/>
    </row>
    <row r="763" spans="7:9" ht="14.25" customHeight="1" x14ac:dyDescent="0.35">
      <c r="G763" s="7"/>
      <c r="H763" s="7"/>
      <c r="I763" s="11"/>
    </row>
    <row r="764" spans="7:9" ht="14.25" customHeight="1" x14ac:dyDescent="0.35">
      <c r="G764" s="7"/>
      <c r="H764" s="7"/>
      <c r="I764" s="11"/>
    </row>
    <row r="765" spans="7:9" ht="14.25" customHeight="1" x14ac:dyDescent="0.35">
      <c r="G765" s="7"/>
      <c r="H765" s="7"/>
      <c r="I765" s="11"/>
    </row>
    <row r="766" spans="7:9" ht="14.25" customHeight="1" x14ac:dyDescent="0.35">
      <c r="G766" s="7"/>
      <c r="H766" s="7"/>
      <c r="I766" s="11"/>
    </row>
    <row r="767" spans="7:9" ht="14.25" customHeight="1" x14ac:dyDescent="0.35">
      <c r="G767" s="7"/>
      <c r="H767" s="7"/>
      <c r="I767" s="11"/>
    </row>
    <row r="768" spans="7:9" ht="14.25" customHeight="1" x14ac:dyDescent="0.35">
      <c r="G768" s="7"/>
      <c r="H768" s="7"/>
      <c r="I768" s="11"/>
    </row>
    <row r="769" spans="7:9" ht="14.25" customHeight="1" x14ac:dyDescent="0.35">
      <c r="G769" s="7"/>
      <c r="H769" s="7"/>
      <c r="I769" s="11"/>
    </row>
    <row r="770" spans="7:9" ht="14.25" customHeight="1" x14ac:dyDescent="0.35">
      <c r="G770" s="7"/>
      <c r="H770" s="7"/>
      <c r="I770" s="11"/>
    </row>
    <row r="771" spans="7:9" ht="14.25" customHeight="1" x14ac:dyDescent="0.35">
      <c r="G771" s="7"/>
      <c r="H771" s="7"/>
      <c r="I771" s="11"/>
    </row>
    <row r="772" spans="7:9" ht="14.25" customHeight="1" x14ac:dyDescent="0.35">
      <c r="G772" s="7"/>
      <c r="H772" s="7"/>
      <c r="I772" s="11"/>
    </row>
    <row r="773" spans="7:9" ht="14.25" customHeight="1" x14ac:dyDescent="0.35">
      <c r="G773" s="7"/>
      <c r="H773" s="7"/>
      <c r="I773" s="11"/>
    </row>
    <row r="774" spans="7:9" ht="14.25" customHeight="1" x14ac:dyDescent="0.35">
      <c r="G774" s="7"/>
      <c r="H774" s="7"/>
      <c r="I774" s="11"/>
    </row>
    <row r="775" spans="7:9" ht="14.25" customHeight="1" x14ac:dyDescent="0.35">
      <c r="G775" s="7"/>
      <c r="H775" s="7"/>
      <c r="I775" s="11"/>
    </row>
    <row r="776" spans="7:9" ht="14.25" customHeight="1" x14ac:dyDescent="0.35">
      <c r="G776" s="7"/>
      <c r="H776" s="7"/>
      <c r="I776" s="11"/>
    </row>
    <row r="777" spans="7:9" ht="14.25" customHeight="1" x14ac:dyDescent="0.35">
      <c r="G777" s="7"/>
      <c r="H777" s="7"/>
      <c r="I777" s="11"/>
    </row>
    <row r="778" spans="7:9" ht="14.25" customHeight="1" x14ac:dyDescent="0.35">
      <c r="G778" s="7"/>
      <c r="H778" s="7"/>
      <c r="I778" s="11"/>
    </row>
    <row r="779" spans="7:9" ht="14.25" customHeight="1" x14ac:dyDescent="0.35">
      <c r="G779" s="7"/>
      <c r="H779" s="7"/>
      <c r="I779" s="11"/>
    </row>
    <row r="780" spans="7:9" ht="14.25" customHeight="1" x14ac:dyDescent="0.35">
      <c r="G780" s="7"/>
      <c r="H780" s="7"/>
      <c r="I780" s="11"/>
    </row>
    <row r="781" spans="7:9" ht="14.25" customHeight="1" x14ac:dyDescent="0.35">
      <c r="G781" s="7"/>
      <c r="H781" s="7"/>
      <c r="I781" s="11"/>
    </row>
    <row r="782" spans="7:9" ht="14.25" customHeight="1" x14ac:dyDescent="0.35">
      <c r="G782" s="7"/>
      <c r="H782" s="7"/>
      <c r="I782" s="11"/>
    </row>
    <row r="783" spans="7:9" ht="14.25" customHeight="1" x14ac:dyDescent="0.35">
      <c r="G783" s="7"/>
      <c r="H783" s="7"/>
      <c r="I783" s="11"/>
    </row>
    <row r="784" spans="7:9" ht="14.25" customHeight="1" x14ac:dyDescent="0.35">
      <c r="G784" s="7"/>
      <c r="H784" s="7"/>
      <c r="I784" s="11"/>
    </row>
    <row r="785" spans="7:9" ht="14.25" customHeight="1" x14ac:dyDescent="0.35">
      <c r="G785" s="7"/>
      <c r="H785" s="7"/>
      <c r="I785" s="11"/>
    </row>
    <row r="786" spans="7:9" ht="14.25" customHeight="1" x14ac:dyDescent="0.35">
      <c r="G786" s="7"/>
      <c r="H786" s="7"/>
      <c r="I786" s="11"/>
    </row>
    <row r="787" spans="7:9" ht="14.25" customHeight="1" x14ac:dyDescent="0.35">
      <c r="G787" s="7"/>
      <c r="H787" s="7"/>
      <c r="I787" s="11"/>
    </row>
    <row r="788" spans="7:9" ht="14.25" customHeight="1" x14ac:dyDescent="0.35">
      <c r="G788" s="7"/>
      <c r="H788" s="7"/>
      <c r="I788" s="11"/>
    </row>
    <row r="789" spans="7:9" ht="14.25" customHeight="1" x14ac:dyDescent="0.35">
      <c r="G789" s="7"/>
      <c r="H789" s="7"/>
      <c r="I789" s="11"/>
    </row>
    <row r="790" spans="7:9" ht="14.25" customHeight="1" x14ac:dyDescent="0.35">
      <c r="G790" s="7"/>
      <c r="H790" s="7"/>
      <c r="I790" s="11"/>
    </row>
    <row r="791" spans="7:9" ht="14.25" customHeight="1" x14ac:dyDescent="0.35">
      <c r="G791" s="7"/>
      <c r="H791" s="7"/>
      <c r="I791" s="11"/>
    </row>
    <row r="792" spans="7:9" ht="14.25" customHeight="1" x14ac:dyDescent="0.35">
      <c r="G792" s="7"/>
      <c r="H792" s="7"/>
      <c r="I792" s="11"/>
    </row>
    <row r="793" spans="7:9" ht="14.25" customHeight="1" x14ac:dyDescent="0.35">
      <c r="G793" s="7"/>
      <c r="H793" s="7"/>
      <c r="I793" s="11"/>
    </row>
    <row r="794" spans="7:9" ht="14.25" customHeight="1" x14ac:dyDescent="0.35">
      <c r="G794" s="7"/>
      <c r="H794" s="7"/>
      <c r="I794" s="11"/>
    </row>
    <row r="795" spans="7:9" ht="14.25" customHeight="1" x14ac:dyDescent="0.35">
      <c r="G795" s="7"/>
      <c r="H795" s="7"/>
      <c r="I795" s="11"/>
    </row>
    <row r="796" spans="7:9" ht="14.25" customHeight="1" x14ac:dyDescent="0.35">
      <c r="G796" s="7"/>
      <c r="H796" s="7"/>
      <c r="I796" s="11"/>
    </row>
    <row r="797" spans="7:9" ht="14.25" customHeight="1" x14ac:dyDescent="0.35">
      <c r="G797" s="7"/>
      <c r="H797" s="7"/>
      <c r="I797" s="11"/>
    </row>
    <row r="798" spans="7:9" ht="14.25" customHeight="1" x14ac:dyDescent="0.35">
      <c r="G798" s="7"/>
      <c r="H798" s="7"/>
      <c r="I798" s="11"/>
    </row>
    <row r="799" spans="7:9" ht="14.25" customHeight="1" x14ac:dyDescent="0.35">
      <c r="G799" s="7"/>
      <c r="H799" s="7"/>
      <c r="I799" s="11"/>
    </row>
    <row r="800" spans="7:9" ht="14.25" customHeight="1" x14ac:dyDescent="0.35">
      <c r="G800" s="7"/>
      <c r="H800" s="7"/>
      <c r="I800" s="11"/>
    </row>
    <row r="801" spans="7:9" ht="14.25" customHeight="1" x14ac:dyDescent="0.35">
      <c r="G801" s="7"/>
      <c r="H801" s="7"/>
      <c r="I801" s="11"/>
    </row>
    <row r="802" spans="7:9" ht="14.25" customHeight="1" x14ac:dyDescent="0.35">
      <c r="G802" s="7"/>
      <c r="H802" s="7"/>
      <c r="I802" s="11"/>
    </row>
    <row r="803" spans="7:9" ht="14.25" customHeight="1" x14ac:dyDescent="0.35">
      <c r="G803" s="7"/>
      <c r="H803" s="7"/>
      <c r="I803" s="11"/>
    </row>
    <row r="804" spans="7:9" ht="14.25" customHeight="1" x14ac:dyDescent="0.35">
      <c r="G804" s="7"/>
      <c r="H804" s="7"/>
      <c r="I804" s="11"/>
    </row>
    <row r="805" spans="7:9" ht="14.25" customHeight="1" x14ac:dyDescent="0.35">
      <c r="G805" s="7"/>
      <c r="H805" s="7"/>
      <c r="I805" s="11"/>
    </row>
    <row r="806" spans="7:9" ht="14.25" customHeight="1" x14ac:dyDescent="0.35">
      <c r="G806" s="7"/>
      <c r="H806" s="7"/>
      <c r="I806" s="11"/>
    </row>
    <row r="807" spans="7:9" ht="14.25" customHeight="1" x14ac:dyDescent="0.35">
      <c r="G807" s="7"/>
      <c r="H807" s="7"/>
      <c r="I807" s="11"/>
    </row>
    <row r="808" spans="7:9" ht="14.25" customHeight="1" x14ac:dyDescent="0.35">
      <c r="G808" s="7"/>
      <c r="H808" s="7"/>
      <c r="I808" s="11"/>
    </row>
    <row r="809" spans="7:9" ht="14.25" customHeight="1" x14ac:dyDescent="0.35">
      <c r="G809" s="7"/>
      <c r="H809" s="7"/>
      <c r="I809" s="11"/>
    </row>
    <row r="810" spans="7:9" ht="14.25" customHeight="1" x14ac:dyDescent="0.35">
      <c r="G810" s="7"/>
      <c r="H810" s="7"/>
      <c r="I810" s="11"/>
    </row>
    <row r="811" spans="7:9" ht="14.25" customHeight="1" x14ac:dyDescent="0.35">
      <c r="G811" s="7"/>
      <c r="H811" s="7"/>
      <c r="I811" s="11"/>
    </row>
    <row r="812" spans="7:9" ht="14.25" customHeight="1" x14ac:dyDescent="0.35">
      <c r="G812" s="7"/>
      <c r="H812" s="7"/>
      <c r="I812" s="11"/>
    </row>
    <row r="813" spans="7:9" ht="14.25" customHeight="1" x14ac:dyDescent="0.35">
      <c r="G813" s="7"/>
      <c r="H813" s="7"/>
      <c r="I813" s="11"/>
    </row>
    <row r="814" spans="7:9" ht="14.25" customHeight="1" x14ac:dyDescent="0.35">
      <c r="G814" s="7"/>
      <c r="H814" s="7"/>
      <c r="I814" s="11"/>
    </row>
    <row r="815" spans="7:9" ht="14.25" customHeight="1" x14ac:dyDescent="0.35">
      <c r="G815" s="7"/>
      <c r="H815" s="7"/>
      <c r="I815" s="11"/>
    </row>
    <row r="816" spans="7:9" ht="14.25" customHeight="1" x14ac:dyDescent="0.35">
      <c r="G816" s="7"/>
      <c r="H816" s="7"/>
      <c r="I816" s="11"/>
    </row>
    <row r="817" spans="7:9" ht="14.25" customHeight="1" x14ac:dyDescent="0.35">
      <c r="G817" s="7"/>
      <c r="H817" s="7"/>
      <c r="I817" s="11"/>
    </row>
    <row r="818" spans="7:9" ht="14.25" customHeight="1" x14ac:dyDescent="0.35">
      <c r="G818" s="7"/>
      <c r="H818" s="7"/>
      <c r="I818" s="11"/>
    </row>
    <row r="819" spans="7:9" ht="14.25" customHeight="1" x14ac:dyDescent="0.35">
      <c r="G819" s="7"/>
      <c r="H819" s="7"/>
      <c r="I819" s="11"/>
    </row>
    <row r="820" spans="7:9" ht="14.25" customHeight="1" x14ac:dyDescent="0.35">
      <c r="G820" s="7"/>
      <c r="H820" s="7"/>
      <c r="I820" s="11"/>
    </row>
    <row r="821" spans="7:9" ht="14.25" customHeight="1" x14ac:dyDescent="0.35">
      <c r="G821" s="7"/>
      <c r="H821" s="7"/>
      <c r="I821" s="11"/>
    </row>
    <row r="822" spans="7:9" ht="14.25" customHeight="1" x14ac:dyDescent="0.35">
      <c r="G822" s="7"/>
      <c r="H822" s="7"/>
      <c r="I822" s="11"/>
    </row>
    <row r="823" spans="7:9" ht="14.25" customHeight="1" x14ac:dyDescent="0.35">
      <c r="G823" s="7"/>
      <c r="H823" s="7"/>
      <c r="I823" s="11"/>
    </row>
    <row r="824" spans="7:9" ht="14.25" customHeight="1" x14ac:dyDescent="0.35">
      <c r="G824" s="7"/>
      <c r="H824" s="7"/>
      <c r="I824" s="11"/>
    </row>
    <row r="825" spans="7:9" ht="14.25" customHeight="1" x14ac:dyDescent="0.35">
      <c r="G825" s="7"/>
      <c r="H825" s="7"/>
      <c r="I825" s="11"/>
    </row>
    <row r="826" spans="7:9" ht="14.25" customHeight="1" x14ac:dyDescent="0.35">
      <c r="G826" s="7"/>
      <c r="H826" s="7"/>
      <c r="I826" s="11"/>
    </row>
    <row r="827" spans="7:9" ht="14.25" customHeight="1" x14ac:dyDescent="0.35">
      <c r="G827" s="7"/>
      <c r="H827" s="7"/>
      <c r="I827" s="11"/>
    </row>
    <row r="828" spans="7:9" ht="14.25" customHeight="1" x14ac:dyDescent="0.35">
      <c r="G828" s="7"/>
      <c r="H828" s="7"/>
      <c r="I828" s="11"/>
    </row>
    <row r="829" spans="7:9" ht="14.25" customHeight="1" x14ac:dyDescent="0.35">
      <c r="G829" s="7"/>
      <c r="H829" s="7"/>
      <c r="I829" s="11"/>
    </row>
    <row r="830" spans="7:9" ht="14.25" customHeight="1" x14ac:dyDescent="0.35">
      <c r="G830" s="7"/>
      <c r="H830" s="7"/>
      <c r="I830" s="11"/>
    </row>
    <row r="831" spans="7:9" ht="14.25" customHeight="1" x14ac:dyDescent="0.35">
      <c r="G831" s="7"/>
      <c r="H831" s="7"/>
      <c r="I831" s="11"/>
    </row>
    <row r="832" spans="7:9" ht="14.25" customHeight="1" x14ac:dyDescent="0.35">
      <c r="G832" s="7"/>
      <c r="H832" s="7"/>
      <c r="I832" s="11"/>
    </row>
    <row r="833" spans="7:9" ht="14.25" customHeight="1" x14ac:dyDescent="0.35">
      <c r="G833" s="7"/>
      <c r="H833" s="7"/>
      <c r="I833" s="11"/>
    </row>
    <row r="834" spans="7:9" ht="14.25" customHeight="1" x14ac:dyDescent="0.35">
      <c r="G834" s="7"/>
      <c r="H834" s="7"/>
      <c r="I834" s="11"/>
    </row>
    <row r="835" spans="7:9" ht="14.25" customHeight="1" x14ac:dyDescent="0.35">
      <c r="G835" s="7"/>
      <c r="H835" s="7"/>
      <c r="I835" s="11"/>
    </row>
    <row r="836" spans="7:9" ht="14.25" customHeight="1" x14ac:dyDescent="0.35">
      <c r="G836" s="7"/>
      <c r="H836" s="7"/>
      <c r="I836" s="11"/>
    </row>
    <row r="837" spans="7:9" ht="14.25" customHeight="1" x14ac:dyDescent="0.35">
      <c r="G837" s="7"/>
      <c r="H837" s="7"/>
      <c r="I837" s="11"/>
    </row>
    <row r="838" spans="7:9" ht="14.25" customHeight="1" x14ac:dyDescent="0.35">
      <c r="G838" s="7"/>
      <c r="H838" s="7"/>
      <c r="I838" s="11"/>
    </row>
    <row r="839" spans="7:9" ht="14.25" customHeight="1" x14ac:dyDescent="0.35">
      <c r="G839" s="7"/>
      <c r="H839" s="7"/>
      <c r="I839" s="11"/>
    </row>
    <row r="840" spans="7:9" ht="14.25" customHeight="1" x14ac:dyDescent="0.35">
      <c r="G840" s="7"/>
      <c r="H840" s="7"/>
      <c r="I840" s="11"/>
    </row>
    <row r="841" spans="7:9" ht="14.25" customHeight="1" x14ac:dyDescent="0.35">
      <c r="G841" s="7"/>
      <c r="H841" s="7"/>
      <c r="I841" s="11"/>
    </row>
    <row r="842" spans="7:9" ht="14.25" customHeight="1" x14ac:dyDescent="0.35">
      <c r="G842" s="7"/>
      <c r="H842" s="7"/>
      <c r="I842" s="11"/>
    </row>
    <row r="843" spans="7:9" ht="14.25" customHeight="1" x14ac:dyDescent="0.35">
      <c r="G843" s="7"/>
      <c r="H843" s="7"/>
      <c r="I843" s="11"/>
    </row>
    <row r="844" spans="7:9" ht="14.25" customHeight="1" x14ac:dyDescent="0.35">
      <c r="G844" s="7"/>
      <c r="H844" s="7"/>
      <c r="I844" s="11"/>
    </row>
    <row r="845" spans="7:9" ht="14.25" customHeight="1" x14ac:dyDescent="0.35">
      <c r="G845" s="7"/>
      <c r="H845" s="7"/>
      <c r="I845" s="11"/>
    </row>
    <row r="846" spans="7:9" ht="14.25" customHeight="1" x14ac:dyDescent="0.35">
      <c r="G846" s="7"/>
      <c r="H846" s="7"/>
      <c r="I846" s="11"/>
    </row>
    <row r="847" spans="7:9" ht="14.25" customHeight="1" x14ac:dyDescent="0.35">
      <c r="G847" s="7"/>
      <c r="H847" s="7"/>
      <c r="I847" s="11"/>
    </row>
    <row r="848" spans="7:9" ht="14.25" customHeight="1" x14ac:dyDescent="0.35">
      <c r="G848" s="7"/>
      <c r="H848" s="7"/>
      <c r="I848" s="11"/>
    </row>
    <row r="849" spans="7:9" ht="14.25" customHeight="1" x14ac:dyDescent="0.35">
      <c r="G849" s="7"/>
      <c r="H849" s="7"/>
      <c r="I849" s="11"/>
    </row>
    <row r="850" spans="7:9" ht="14.25" customHeight="1" x14ac:dyDescent="0.35">
      <c r="G850" s="7"/>
      <c r="H850" s="7"/>
      <c r="I850" s="11"/>
    </row>
    <row r="851" spans="7:9" ht="14.25" customHeight="1" x14ac:dyDescent="0.35">
      <c r="G851" s="7"/>
      <c r="H851" s="7"/>
      <c r="I851" s="11"/>
    </row>
    <row r="852" spans="7:9" ht="14.25" customHeight="1" x14ac:dyDescent="0.35">
      <c r="G852" s="7"/>
      <c r="H852" s="7"/>
      <c r="I852" s="11"/>
    </row>
    <row r="853" spans="7:9" ht="14.25" customHeight="1" x14ac:dyDescent="0.35">
      <c r="G853" s="7"/>
      <c r="H853" s="7"/>
      <c r="I853" s="11"/>
    </row>
    <row r="854" spans="7:9" ht="14.25" customHeight="1" x14ac:dyDescent="0.35">
      <c r="G854" s="7"/>
      <c r="H854" s="7"/>
      <c r="I854" s="11"/>
    </row>
    <row r="855" spans="7:9" ht="14.25" customHeight="1" x14ac:dyDescent="0.35">
      <c r="G855" s="7"/>
      <c r="H855" s="7"/>
      <c r="I855" s="11"/>
    </row>
    <row r="856" spans="7:9" ht="14.25" customHeight="1" x14ac:dyDescent="0.35">
      <c r="G856" s="7"/>
      <c r="H856" s="7"/>
      <c r="I856" s="11"/>
    </row>
    <row r="857" spans="7:9" ht="14.25" customHeight="1" x14ac:dyDescent="0.35">
      <c r="G857" s="7"/>
      <c r="H857" s="7"/>
      <c r="I857" s="11"/>
    </row>
    <row r="858" spans="7:9" ht="14.25" customHeight="1" x14ac:dyDescent="0.35">
      <c r="G858" s="7"/>
      <c r="H858" s="7"/>
      <c r="I858" s="11"/>
    </row>
    <row r="859" spans="7:9" ht="14.25" customHeight="1" x14ac:dyDescent="0.35">
      <c r="G859" s="7"/>
      <c r="H859" s="7"/>
      <c r="I859" s="11"/>
    </row>
    <row r="860" spans="7:9" ht="14.25" customHeight="1" x14ac:dyDescent="0.35">
      <c r="G860" s="7"/>
      <c r="H860" s="7"/>
      <c r="I860" s="11"/>
    </row>
    <row r="861" spans="7:9" ht="14.25" customHeight="1" x14ac:dyDescent="0.35">
      <c r="G861" s="7"/>
      <c r="H861" s="7"/>
      <c r="I861" s="11"/>
    </row>
    <row r="862" spans="7:9" ht="14.25" customHeight="1" x14ac:dyDescent="0.35">
      <c r="G862" s="7"/>
      <c r="H862" s="7"/>
      <c r="I862" s="11"/>
    </row>
    <row r="863" spans="7:9" ht="14.25" customHeight="1" x14ac:dyDescent="0.35">
      <c r="G863" s="7"/>
      <c r="H863" s="7"/>
      <c r="I863" s="11"/>
    </row>
    <row r="864" spans="7:9" ht="14.25" customHeight="1" x14ac:dyDescent="0.35">
      <c r="G864" s="7"/>
      <c r="H864" s="7"/>
      <c r="I864" s="11"/>
    </row>
    <row r="865" spans="7:9" ht="14.25" customHeight="1" x14ac:dyDescent="0.35">
      <c r="G865" s="7"/>
      <c r="H865" s="7"/>
      <c r="I865" s="11"/>
    </row>
    <row r="866" spans="7:9" ht="14.25" customHeight="1" x14ac:dyDescent="0.35">
      <c r="G866" s="7"/>
      <c r="H866" s="7"/>
      <c r="I866" s="11"/>
    </row>
    <row r="867" spans="7:9" ht="14.25" customHeight="1" x14ac:dyDescent="0.35">
      <c r="G867" s="7"/>
      <c r="H867" s="7"/>
      <c r="I867" s="11"/>
    </row>
    <row r="868" spans="7:9" ht="14.25" customHeight="1" x14ac:dyDescent="0.35">
      <c r="G868" s="7"/>
      <c r="H868" s="7"/>
      <c r="I868" s="11"/>
    </row>
    <row r="869" spans="7:9" ht="14.25" customHeight="1" x14ac:dyDescent="0.35">
      <c r="G869" s="7"/>
      <c r="H869" s="7"/>
      <c r="I869" s="11"/>
    </row>
    <row r="870" spans="7:9" ht="14.25" customHeight="1" x14ac:dyDescent="0.35">
      <c r="G870" s="7"/>
      <c r="H870" s="7"/>
      <c r="I870" s="11"/>
    </row>
    <row r="871" spans="7:9" ht="14.25" customHeight="1" x14ac:dyDescent="0.35">
      <c r="G871" s="7"/>
      <c r="H871" s="7"/>
      <c r="I871" s="11"/>
    </row>
    <row r="872" spans="7:9" ht="14.25" customHeight="1" x14ac:dyDescent="0.35">
      <c r="G872" s="7"/>
      <c r="H872" s="7"/>
      <c r="I872" s="11"/>
    </row>
    <row r="873" spans="7:9" ht="14.25" customHeight="1" x14ac:dyDescent="0.35">
      <c r="G873" s="7"/>
      <c r="H873" s="7"/>
      <c r="I873" s="11"/>
    </row>
    <row r="874" spans="7:9" ht="14.25" customHeight="1" x14ac:dyDescent="0.35">
      <c r="G874" s="7"/>
      <c r="H874" s="7"/>
      <c r="I874" s="11"/>
    </row>
    <row r="875" spans="7:9" ht="14.25" customHeight="1" x14ac:dyDescent="0.35">
      <c r="G875" s="7"/>
      <c r="H875" s="7"/>
      <c r="I875" s="11"/>
    </row>
    <row r="876" spans="7:9" ht="14.25" customHeight="1" x14ac:dyDescent="0.35">
      <c r="G876" s="7"/>
      <c r="H876" s="7"/>
      <c r="I876" s="11"/>
    </row>
    <row r="877" spans="7:9" ht="14.25" customHeight="1" x14ac:dyDescent="0.35">
      <c r="G877" s="7"/>
      <c r="H877" s="7"/>
      <c r="I877" s="11"/>
    </row>
    <row r="878" spans="7:9" ht="14.25" customHeight="1" x14ac:dyDescent="0.35">
      <c r="G878" s="7"/>
      <c r="H878" s="7"/>
      <c r="I878" s="11"/>
    </row>
    <row r="879" spans="7:9" ht="14.25" customHeight="1" x14ac:dyDescent="0.35">
      <c r="G879" s="7"/>
      <c r="H879" s="7"/>
      <c r="I879" s="11"/>
    </row>
    <row r="880" spans="7:9" ht="14.25" customHeight="1" x14ac:dyDescent="0.35">
      <c r="G880" s="7"/>
      <c r="H880" s="7"/>
      <c r="I880" s="11"/>
    </row>
    <row r="881" spans="7:9" ht="14.25" customHeight="1" x14ac:dyDescent="0.35">
      <c r="G881" s="7"/>
      <c r="H881" s="7"/>
      <c r="I881" s="11"/>
    </row>
    <row r="882" spans="7:9" ht="14.25" customHeight="1" x14ac:dyDescent="0.35">
      <c r="G882" s="7"/>
      <c r="H882" s="7"/>
      <c r="I882" s="11"/>
    </row>
    <row r="883" spans="7:9" ht="14.25" customHeight="1" x14ac:dyDescent="0.35">
      <c r="G883" s="7"/>
      <c r="H883" s="7"/>
      <c r="I883" s="11"/>
    </row>
    <row r="884" spans="7:9" ht="14.25" customHeight="1" x14ac:dyDescent="0.35">
      <c r="G884" s="7"/>
      <c r="H884" s="7"/>
      <c r="I884" s="11"/>
    </row>
    <row r="885" spans="7:9" ht="14.25" customHeight="1" x14ac:dyDescent="0.35">
      <c r="G885" s="7"/>
      <c r="H885" s="7"/>
      <c r="I885" s="11"/>
    </row>
    <row r="886" spans="7:9" ht="14.25" customHeight="1" x14ac:dyDescent="0.35">
      <c r="G886" s="7"/>
      <c r="H886" s="7"/>
      <c r="I886" s="11"/>
    </row>
    <row r="887" spans="7:9" ht="14.25" customHeight="1" x14ac:dyDescent="0.35">
      <c r="G887" s="7"/>
      <c r="H887" s="7"/>
      <c r="I887" s="11"/>
    </row>
    <row r="888" spans="7:9" ht="14.25" customHeight="1" x14ac:dyDescent="0.35">
      <c r="G888" s="7"/>
      <c r="H888" s="7"/>
      <c r="I888" s="11"/>
    </row>
    <row r="889" spans="7:9" ht="14.25" customHeight="1" x14ac:dyDescent="0.35">
      <c r="G889" s="7"/>
      <c r="H889" s="7"/>
      <c r="I889" s="11"/>
    </row>
    <row r="890" spans="7:9" ht="14.25" customHeight="1" x14ac:dyDescent="0.35">
      <c r="G890" s="7"/>
      <c r="H890" s="7"/>
      <c r="I890" s="11"/>
    </row>
    <row r="891" spans="7:9" ht="14.25" customHeight="1" x14ac:dyDescent="0.35">
      <c r="G891" s="7"/>
      <c r="H891" s="7"/>
      <c r="I891" s="11"/>
    </row>
    <row r="892" spans="7:9" ht="14.25" customHeight="1" x14ac:dyDescent="0.35">
      <c r="G892" s="7"/>
      <c r="H892" s="7"/>
      <c r="I892" s="11"/>
    </row>
    <row r="893" spans="7:9" ht="14.25" customHeight="1" x14ac:dyDescent="0.35">
      <c r="G893" s="7"/>
      <c r="H893" s="7"/>
      <c r="I893" s="11"/>
    </row>
    <row r="894" spans="7:9" ht="14.25" customHeight="1" x14ac:dyDescent="0.35">
      <c r="G894" s="7"/>
      <c r="H894" s="7"/>
      <c r="I894" s="11"/>
    </row>
    <row r="895" spans="7:9" ht="14.25" customHeight="1" x14ac:dyDescent="0.35">
      <c r="G895" s="7"/>
      <c r="H895" s="7"/>
      <c r="I895" s="11"/>
    </row>
    <row r="896" spans="7:9" ht="14.25" customHeight="1" x14ac:dyDescent="0.35">
      <c r="G896" s="7"/>
      <c r="H896" s="7"/>
      <c r="I896" s="11"/>
    </row>
    <row r="897" spans="7:9" ht="14.25" customHeight="1" x14ac:dyDescent="0.35">
      <c r="G897" s="7"/>
      <c r="H897" s="7"/>
      <c r="I897" s="11"/>
    </row>
    <row r="898" spans="7:9" ht="14.25" customHeight="1" x14ac:dyDescent="0.35">
      <c r="G898" s="7"/>
      <c r="H898" s="7"/>
      <c r="I898" s="11"/>
    </row>
    <row r="899" spans="7:9" ht="14.25" customHeight="1" x14ac:dyDescent="0.35">
      <c r="G899" s="7"/>
      <c r="H899" s="7"/>
      <c r="I899" s="11"/>
    </row>
    <row r="900" spans="7:9" ht="14.25" customHeight="1" x14ac:dyDescent="0.35">
      <c r="G900" s="7"/>
      <c r="H900" s="7"/>
      <c r="I900" s="11"/>
    </row>
    <row r="901" spans="7:9" ht="14.25" customHeight="1" x14ac:dyDescent="0.35">
      <c r="G901" s="7"/>
      <c r="H901" s="7"/>
      <c r="I901" s="11"/>
    </row>
    <row r="902" spans="7:9" ht="14.25" customHeight="1" x14ac:dyDescent="0.35">
      <c r="G902" s="7"/>
      <c r="H902" s="7"/>
      <c r="I902" s="11"/>
    </row>
    <row r="903" spans="7:9" ht="14.25" customHeight="1" x14ac:dyDescent="0.35">
      <c r="G903" s="7"/>
      <c r="H903" s="7"/>
      <c r="I903" s="11"/>
    </row>
    <row r="904" spans="7:9" ht="14.25" customHeight="1" x14ac:dyDescent="0.35">
      <c r="G904" s="7"/>
      <c r="H904" s="7"/>
      <c r="I904" s="11"/>
    </row>
    <row r="905" spans="7:9" ht="14.25" customHeight="1" x14ac:dyDescent="0.35">
      <c r="G905" s="7"/>
      <c r="H905" s="7"/>
      <c r="I905" s="11"/>
    </row>
    <row r="906" spans="7:9" ht="14.25" customHeight="1" x14ac:dyDescent="0.35">
      <c r="G906" s="7"/>
      <c r="H906" s="7"/>
      <c r="I906" s="11"/>
    </row>
    <row r="907" spans="7:9" ht="14.25" customHeight="1" x14ac:dyDescent="0.35">
      <c r="G907" s="7"/>
      <c r="H907" s="7"/>
      <c r="I907" s="11"/>
    </row>
    <row r="908" spans="7:9" ht="14.25" customHeight="1" x14ac:dyDescent="0.35">
      <c r="G908" s="7"/>
      <c r="H908" s="7"/>
      <c r="I908" s="11"/>
    </row>
    <row r="909" spans="7:9" ht="14.25" customHeight="1" x14ac:dyDescent="0.35">
      <c r="G909" s="7"/>
      <c r="H909" s="7"/>
      <c r="I909" s="11"/>
    </row>
    <row r="910" spans="7:9" ht="14.25" customHeight="1" x14ac:dyDescent="0.35">
      <c r="G910" s="7"/>
      <c r="H910" s="7"/>
      <c r="I910" s="11"/>
    </row>
    <row r="911" spans="7:9" ht="14.25" customHeight="1" x14ac:dyDescent="0.35">
      <c r="G911" s="7"/>
      <c r="H911" s="7"/>
      <c r="I911" s="11"/>
    </row>
    <row r="912" spans="7:9" ht="14.25" customHeight="1" x14ac:dyDescent="0.35">
      <c r="G912" s="7"/>
      <c r="H912" s="7"/>
      <c r="I912" s="11"/>
    </row>
    <row r="913" spans="7:9" ht="14.25" customHeight="1" x14ac:dyDescent="0.35">
      <c r="G913" s="7"/>
      <c r="H913" s="7"/>
      <c r="I913" s="11"/>
    </row>
    <row r="914" spans="7:9" ht="14.25" customHeight="1" x14ac:dyDescent="0.35">
      <c r="G914" s="7"/>
      <c r="H914" s="7"/>
      <c r="I914" s="11"/>
    </row>
    <row r="915" spans="7:9" ht="14.25" customHeight="1" x14ac:dyDescent="0.35">
      <c r="G915" s="7"/>
      <c r="H915" s="7"/>
      <c r="I915" s="11"/>
    </row>
    <row r="916" spans="7:9" ht="14.25" customHeight="1" x14ac:dyDescent="0.35">
      <c r="G916" s="7"/>
      <c r="H916" s="7"/>
      <c r="I916" s="11"/>
    </row>
    <row r="917" spans="7:9" ht="14.25" customHeight="1" x14ac:dyDescent="0.35">
      <c r="G917" s="7"/>
      <c r="H917" s="7"/>
      <c r="I917" s="11"/>
    </row>
    <row r="918" spans="7:9" ht="14.25" customHeight="1" x14ac:dyDescent="0.35">
      <c r="G918" s="7"/>
      <c r="H918" s="7"/>
      <c r="I918" s="11"/>
    </row>
    <row r="919" spans="7:9" ht="14.25" customHeight="1" x14ac:dyDescent="0.35">
      <c r="G919" s="7"/>
      <c r="H919" s="7"/>
      <c r="I919" s="11"/>
    </row>
    <row r="920" spans="7:9" ht="14.25" customHeight="1" x14ac:dyDescent="0.35">
      <c r="G920" s="7"/>
      <c r="H920" s="7"/>
      <c r="I920" s="11"/>
    </row>
    <row r="921" spans="7:9" ht="14.25" customHeight="1" x14ac:dyDescent="0.35">
      <c r="G921" s="7"/>
      <c r="H921" s="7"/>
      <c r="I921" s="11"/>
    </row>
    <row r="922" spans="7:9" ht="14.25" customHeight="1" x14ac:dyDescent="0.35">
      <c r="G922" s="7"/>
      <c r="H922" s="7"/>
      <c r="I922" s="11"/>
    </row>
    <row r="923" spans="7:9" ht="14.25" customHeight="1" x14ac:dyDescent="0.35">
      <c r="G923" s="7"/>
      <c r="H923" s="7"/>
      <c r="I923" s="11"/>
    </row>
    <row r="924" spans="7:9" ht="14.25" customHeight="1" x14ac:dyDescent="0.35">
      <c r="G924" s="7"/>
      <c r="H924" s="7"/>
      <c r="I924" s="11"/>
    </row>
    <row r="925" spans="7:9" ht="14.25" customHeight="1" x14ac:dyDescent="0.35">
      <c r="G925" s="7"/>
      <c r="H925" s="7"/>
      <c r="I925" s="11"/>
    </row>
    <row r="926" spans="7:9" ht="14.25" customHeight="1" x14ac:dyDescent="0.35">
      <c r="G926" s="7"/>
      <c r="H926" s="7"/>
      <c r="I926" s="11"/>
    </row>
    <row r="927" spans="7:9" ht="14.25" customHeight="1" x14ac:dyDescent="0.35">
      <c r="G927" s="7"/>
      <c r="H927" s="7"/>
      <c r="I927" s="11"/>
    </row>
    <row r="928" spans="7:9" ht="14.25" customHeight="1" x14ac:dyDescent="0.35">
      <c r="G928" s="7"/>
      <c r="H928" s="7"/>
      <c r="I928" s="11"/>
    </row>
    <row r="929" spans="7:9" ht="14.25" customHeight="1" x14ac:dyDescent="0.35">
      <c r="G929" s="7"/>
      <c r="H929" s="7"/>
      <c r="I929" s="11"/>
    </row>
    <row r="930" spans="7:9" ht="14.25" customHeight="1" x14ac:dyDescent="0.35">
      <c r="G930" s="7"/>
      <c r="H930" s="7"/>
      <c r="I930" s="11"/>
    </row>
    <row r="931" spans="7:9" ht="14.25" customHeight="1" x14ac:dyDescent="0.35">
      <c r="G931" s="7"/>
      <c r="H931" s="7"/>
      <c r="I931" s="11"/>
    </row>
    <row r="932" spans="7:9" ht="14.25" customHeight="1" x14ac:dyDescent="0.35">
      <c r="G932" s="7"/>
      <c r="H932" s="7"/>
      <c r="I932" s="11"/>
    </row>
    <row r="933" spans="7:9" ht="14.25" customHeight="1" x14ac:dyDescent="0.35">
      <c r="G933" s="7"/>
      <c r="H933" s="7"/>
      <c r="I933" s="11"/>
    </row>
    <row r="934" spans="7:9" ht="14.25" customHeight="1" x14ac:dyDescent="0.35">
      <c r="G934" s="7"/>
      <c r="H934" s="7"/>
      <c r="I934" s="11"/>
    </row>
    <row r="935" spans="7:9" ht="14.25" customHeight="1" x14ac:dyDescent="0.35">
      <c r="G935" s="7"/>
      <c r="H935" s="7"/>
      <c r="I935" s="11"/>
    </row>
    <row r="936" spans="7:9" ht="14.25" customHeight="1" x14ac:dyDescent="0.35">
      <c r="G936" s="7"/>
      <c r="H936" s="7"/>
      <c r="I936" s="11"/>
    </row>
    <row r="937" spans="7:9" ht="14.25" customHeight="1" x14ac:dyDescent="0.35">
      <c r="G937" s="7"/>
      <c r="H937" s="7"/>
      <c r="I937" s="11"/>
    </row>
    <row r="938" spans="7:9" ht="14.25" customHeight="1" x14ac:dyDescent="0.35">
      <c r="G938" s="7"/>
      <c r="H938" s="7"/>
      <c r="I938" s="11"/>
    </row>
    <row r="939" spans="7:9" ht="14.25" customHeight="1" x14ac:dyDescent="0.35">
      <c r="G939" s="7"/>
      <c r="H939" s="7"/>
      <c r="I939" s="11"/>
    </row>
    <row r="940" spans="7:9" ht="14.25" customHeight="1" x14ac:dyDescent="0.35">
      <c r="G940" s="7"/>
      <c r="H940" s="7"/>
      <c r="I940" s="11"/>
    </row>
    <row r="941" spans="7:9" ht="14.25" customHeight="1" x14ac:dyDescent="0.35">
      <c r="G941" s="7"/>
      <c r="H941" s="7"/>
      <c r="I941" s="11"/>
    </row>
    <row r="942" spans="7:9" ht="14.25" customHeight="1" x14ac:dyDescent="0.35">
      <c r="G942" s="7"/>
      <c r="H942" s="7"/>
      <c r="I942" s="11"/>
    </row>
    <row r="943" spans="7:9" ht="14.25" customHeight="1" x14ac:dyDescent="0.35">
      <c r="G943" s="7"/>
      <c r="H943" s="7"/>
      <c r="I943" s="11"/>
    </row>
    <row r="944" spans="7:9" ht="14.25" customHeight="1" x14ac:dyDescent="0.35">
      <c r="G944" s="7"/>
      <c r="H944" s="7"/>
      <c r="I944" s="11"/>
    </row>
    <row r="945" spans="7:9" ht="14.25" customHeight="1" x14ac:dyDescent="0.35">
      <c r="G945" s="7"/>
      <c r="H945" s="7"/>
      <c r="I945" s="11"/>
    </row>
    <row r="946" spans="7:9" ht="14.25" customHeight="1" x14ac:dyDescent="0.35">
      <c r="G946" s="7"/>
      <c r="H946" s="7"/>
      <c r="I946" s="11"/>
    </row>
    <row r="947" spans="7:9" ht="14.25" customHeight="1" x14ac:dyDescent="0.35">
      <c r="G947" s="7"/>
      <c r="H947" s="7"/>
      <c r="I947" s="11"/>
    </row>
    <row r="948" spans="7:9" ht="14.25" customHeight="1" x14ac:dyDescent="0.35">
      <c r="G948" s="7"/>
      <c r="H948" s="7"/>
      <c r="I948" s="11"/>
    </row>
    <row r="949" spans="7:9" ht="14.25" customHeight="1" x14ac:dyDescent="0.35">
      <c r="G949" s="7"/>
      <c r="H949" s="7"/>
      <c r="I949" s="11"/>
    </row>
    <row r="950" spans="7:9" ht="14.25" customHeight="1" x14ac:dyDescent="0.35">
      <c r="G950" s="7"/>
      <c r="H950" s="7"/>
      <c r="I950" s="11"/>
    </row>
    <row r="951" spans="7:9" ht="14.25" customHeight="1" x14ac:dyDescent="0.35">
      <c r="G951" s="7"/>
      <c r="H951" s="7"/>
      <c r="I951" s="11"/>
    </row>
    <row r="952" spans="7:9" ht="14.25" customHeight="1" x14ac:dyDescent="0.35">
      <c r="G952" s="7"/>
      <c r="H952" s="7"/>
      <c r="I952" s="11"/>
    </row>
    <row r="953" spans="7:9" ht="14.25" customHeight="1" x14ac:dyDescent="0.35">
      <c r="G953" s="7"/>
      <c r="H953" s="7"/>
      <c r="I953" s="11"/>
    </row>
    <row r="954" spans="7:9" ht="14.25" customHeight="1" x14ac:dyDescent="0.35">
      <c r="G954" s="7"/>
      <c r="H954" s="7"/>
      <c r="I954" s="11"/>
    </row>
    <row r="955" spans="7:9" ht="14.25" customHeight="1" x14ac:dyDescent="0.35">
      <c r="G955" s="7"/>
      <c r="H955" s="7"/>
      <c r="I955" s="11"/>
    </row>
    <row r="956" spans="7:9" ht="14.25" customHeight="1" x14ac:dyDescent="0.35">
      <c r="G956" s="7"/>
      <c r="H956" s="7"/>
      <c r="I956" s="11"/>
    </row>
    <row r="957" spans="7:9" ht="14.25" customHeight="1" x14ac:dyDescent="0.35">
      <c r="G957" s="7"/>
      <c r="H957" s="7"/>
      <c r="I957" s="11"/>
    </row>
    <row r="958" spans="7:9" ht="14.25" customHeight="1" x14ac:dyDescent="0.35">
      <c r="G958" s="7"/>
      <c r="H958" s="7"/>
      <c r="I958" s="11"/>
    </row>
    <row r="959" spans="7:9" ht="14.25" customHeight="1" x14ac:dyDescent="0.35">
      <c r="G959" s="7"/>
      <c r="H959" s="7"/>
      <c r="I959" s="11"/>
    </row>
    <row r="960" spans="7:9" ht="14.25" customHeight="1" x14ac:dyDescent="0.35">
      <c r="G960" s="7"/>
      <c r="H960" s="7"/>
      <c r="I960" s="11"/>
    </row>
    <row r="961" spans="7:9" ht="14.25" customHeight="1" x14ac:dyDescent="0.35">
      <c r="G961" s="7"/>
      <c r="H961" s="7"/>
      <c r="I961" s="11"/>
    </row>
    <row r="962" spans="7:9" ht="14.25" customHeight="1" x14ac:dyDescent="0.35">
      <c r="G962" s="7"/>
      <c r="H962" s="7"/>
      <c r="I962" s="11"/>
    </row>
    <row r="963" spans="7:9" ht="14.25" customHeight="1" x14ac:dyDescent="0.35">
      <c r="G963" s="7"/>
      <c r="H963" s="7"/>
      <c r="I963" s="11"/>
    </row>
    <row r="964" spans="7:9" ht="14.25" customHeight="1" x14ac:dyDescent="0.35">
      <c r="G964" s="7"/>
      <c r="H964" s="7"/>
      <c r="I964" s="11"/>
    </row>
    <row r="965" spans="7:9" ht="14.25" customHeight="1" x14ac:dyDescent="0.35">
      <c r="G965" s="7"/>
      <c r="H965" s="7"/>
      <c r="I965" s="11"/>
    </row>
    <row r="966" spans="7:9" ht="14.25" customHeight="1" x14ac:dyDescent="0.35">
      <c r="G966" s="7"/>
      <c r="H966" s="7"/>
      <c r="I966" s="11"/>
    </row>
    <row r="967" spans="7:9" ht="14.25" customHeight="1" x14ac:dyDescent="0.35">
      <c r="G967" s="7"/>
      <c r="H967" s="7"/>
      <c r="I967" s="11"/>
    </row>
    <row r="968" spans="7:9" ht="14.25" customHeight="1" x14ac:dyDescent="0.35">
      <c r="G968" s="7"/>
      <c r="H968" s="7"/>
      <c r="I968" s="11"/>
    </row>
    <row r="969" spans="7:9" ht="14.25" customHeight="1" x14ac:dyDescent="0.35">
      <c r="G969" s="7"/>
      <c r="H969" s="7"/>
      <c r="I969" s="11"/>
    </row>
    <row r="970" spans="7:9" ht="14.25" customHeight="1" x14ac:dyDescent="0.35">
      <c r="G970" s="7"/>
      <c r="H970" s="7"/>
      <c r="I970" s="11"/>
    </row>
    <row r="971" spans="7:9" ht="14.25" customHeight="1" x14ac:dyDescent="0.35">
      <c r="G971" s="7"/>
      <c r="H971" s="7"/>
      <c r="I971" s="11"/>
    </row>
    <row r="972" spans="7:9" ht="14.25" customHeight="1" x14ac:dyDescent="0.35">
      <c r="G972" s="7"/>
      <c r="H972" s="7"/>
      <c r="I972" s="11"/>
    </row>
    <row r="973" spans="7:9" ht="14.25" customHeight="1" x14ac:dyDescent="0.35">
      <c r="G973" s="7"/>
      <c r="H973" s="7"/>
      <c r="I973" s="11"/>
    </row>
    <row r="974" spans="7:9" ht="14.25" customHeight="1" x14ac:dyDescent="0.35">
      <c r="G974" s="7"/>
      <c r="H974" s="7"/>
      <c r="I974" s="11"/>
    </row>
    <row r="975" spans="7:9" ht="14.25" customHeight="1" x14ac:dyDescent="0.35">
      <c r="G975" s="7"/>
      <c r="H975" s="7"/>
      <c r="I975" s="11"/>
    </row>
    <row r="976" spans="7:9" ht="14.25" customHeight="1" x14ac:dyDescent="0.35">
      <c r="G976" s="7"/>
      <c r="H976" s="7"/>
      <c r="I976" s="11"/>
    </row>
    <row r="977" spans="7:9" ht="14.25" customHeight="1" x14ac:dyDescent="0.35">
      <c r="G977" s="7"/>
      <c r="H977" s="7"/>
      <c r="I977" s="11"/>
    </row>
    <row r="978" spans="7:9" ht="14.25" customHeight="1" x14ac:dyDescent="0.35">
      <c r="G978" s="7"/>
      <c r="H978" s="7"/>
      <c r="I978" s="11"/>
    </row>
    <row r="979" spans="7:9" ht="14.25" customHeight="1" x14ac:dyDescent="0.35">
      <c r="G979" s="7"/>
      <c r="H979" s="7"/>
      <c r="I979" s="11"/>
    </row>
    <row r="980" spans="7:9" ht="14.25" customHeight="1" x14ac:dyDescent="0.35">
      <c r="G980" s="7"/>
      <c r="H980" s="7"/>
      <c r="I980" s="11"/>
    </row>
    <row r="981" spans="7:9" ht="14.25" customHeight="1" x14ac:dyDescent="0.35">
      <c r="G981" s="7"/>
      <c r="H981" s="7"/>
      <c r="I981" s="11"/>
    </row>
    <row r="982" spans="7:9" ht="14.25" customHeight="1" x14ac:dyDescent="0.35">
      <c r="G982" s="7"/>
      <c r="H982" s="7"/>
      <c r="I982" s="11"/>
    </row>
    <row r="983" spans="7:9" ht="14.25" customHeight="1" x14ac:dyDescent="0.35">
      <c r="G983" s="7"/>
      <c r="H983" s="7"/>
      <c r="I983" s="11"/>
    </row>
    <row r="984" spans="7:9" ht="14.25" customHeight="1" x14ac:dyDescent="0.35">
      <c r="G984" s="7"/>
      <c r="H984" s="7"/>
      <c r="I984" s="11"/>
    </row>
    <row r="985" spans="7:9" ht="14.25" customHeight="1" x14ac:dyDescent="0.35">
      <c r="G985" s="7"/>
      <c r="H985" s="7"/>
      <c r="I985" s="11"/>
    </row>
    <row r="986" spans="7:9" ht="14.25" customHeight="1" x14ac:dyDescent="0.35">
      <c r="G986" s="7"/>
      <c r="H986" s="7"/>
      <c r="I986" s="11"/>
    </row>
    <row r="987" spans="7:9" ht="14.25" customHeight="1" x14ac:dyDescent="0.35">
      <c r="G987" s="7"/>
      <c r="H987" s="7"/>
      <c r="I987" s="11"/>
    </row>
    <row r="988" spans="7:9" ht="14.25" customHeight="1" x14ac:dyDescent="0.35">
      <c r="G988" s="7"/>
      <c r="H988" s="7"/>
      <c r="I988" s="11"/>
    </row>
    <row r="989" spans="7:9" ht="14.25" customHeight="1" x14ac:dyDescent="0.35">
      <c r="G989" s="7"/>
      <c r="H989" s="7"/>
      <c r="I989" s="11"/>
    </row>
    <row r="990" spans="7:9" ht="14.25" customHeight="1" x14ac:dyDescent="0.35">
      <c r="G990" s="7"/>
      <c r="H990" s="7"/>
      <c r="I990" s="11"/>
    </row>
    <row r="991" spans="7:9" ht="14.25" customHeight="1" x14ac:dyDescent="0.35">
      <c r="G991" s="7"/>
      <c r="H991" s="7"/>
      <c r="I991" s="11"/>
    </row>
    <row r="992" spans="7:9" ht="14.25" customHeight="1" x14ac:dyDescent="0.35">
      <c r="G992" s="7"/>
      <c r="H992" s="7"/>
      <c r="I992" s="11"/>
    </row>
    <row r="993" spans="7:9" ht="14.25" customHeight="1" x14ac:dyDescent="0.35">
      <c r="G993" s="7"/>
      <c r="H993" s="7"/>
      <c r="I993" s="11"/>
    </row>
    <row r="994" spans="7:9" ht="14.25" customHeight="1" x14ac:dyDescent="0.35">
      <c r="G994" s="7"/>
      <c r="H994" s="7"/>
      <c r="I994" s="11"/>
    </row>
    <row r="995" spans="7:9" ht="14.25" customHeight="1" x14ac:dyDescent="0.35">
      <c r="G995" s="7"/>
      <c r="H995" s="7"/>
      <c r="I995" s="11"/>
    </row>
    <row r="996" spans="7:9" ht="14.25" customHeight="1" x14ac:dyDescent="0.35">
      <c r="G996" s="7"/>
      <c r="H996" s="7"/>
      <c r="I996" s="11"/>
    </row>
    <row r="997" spans="7:9" ht="14.25" customHeight="1" x14ac:dyDescent="0.35">
      <c r="G997" s="7"/>
      <c r="H997" s="7"/>
      <c r="I997" s="11"/>
    </row>
    <row r="998" spans="7:9" ht="14.25" customHeight="1" x14ac:dyDescent="0.35">
      <c r="G998" s="7"/>
      <c r="H998" s="7"/>
      <c r="I998" s="11"/>
    </row>
    <row r="999" spans="7:9" ht="14.25" customHeight="1" x14ac:dyDescent="0.35">
      <c r="G999" s="7"/>
      <c r="H999" s="7"/>
      <c r="I999" s="11"/>
    </row>
    <row r="1000" spans="7:9" ht="14.25" customHeight="1" x14ac:dyDescent="0.35">
      <c r="G1000" s="7"/>
      <c r="H1000" s="7"/>
      <c r="I1000" s="11"/>
    </row>
    <row r="1001" spans="7:9" ht="14.25" customHeight="1" x14ac:dyDescent="0.35">
      <c r="G1001" s="7"/>
      <c r="H1001" s="7"/>
      <c r="I1001" s="11"/>
    </row>
    <row r="1002" spans="7:9" ht="14.25" customHeight="1" x14ac:dyDescent="0.35">
      <c r="G1002" s="7"/>
      <c r="H1002" s="7"/>
      <c r="I1002" s="11"/>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65C9-4FA9-40C8-8312-1FB18D059363}">
  <dimension ref="A1:E14"/>
  <sheetViews>
    <sheetView workbookViewId="0">
      <selection activeCell="A12" sqref="A12"/>
    </sheetView>
  </sheetViews>
  <sheetFormatPr defaultRowHeight="14.5" x14ac:dyDescent="0.35"/>
  <cols>
    <col min="1" max="1" width="28.90625" bestFit="1" customWidth="1"/>
  </cols>
  <sheetData>
    <row r="1" spans="1:5" ht="18.5" x14ac:dyDescent="0.45">
      <c r="A1" s="16" t="s">
        <v>24</v>
      </c>
    </row>
    <row r="3" spans="1:5" x14ac:dyDescent="0.35">
      <c r="A3" s="14" t="s">
        <v>25</v>
      </c>
      <c r="B3">
        <f>ROWS([1]!education_roles[#Data])</f>
        <v>41</v>
      </c>
    </row>
    <row r="4" spans="1:5" x14ac:dyDescent="0.35">
      <c r="A4" s="14" t="s">
        <v>26</v>
      </c>
      <c r="B4">
        <f>COUNTIF([1]!education_roles[Role],"Teacher")</f>
        <v>1</v>
      </c>
    </row>
    <row r="5" spans="1:5" x14ac:dyDescent="0.35">
      <c r="A5" s="14" t="s">
        <v>27</v>
      </c>
      <c r="B5">
        <f>COUNTIF([1]!education_roles[Role],"Teaching Assistant")</f>
        <v>39</v>
      </c>
    </row>
    <row r="6" spans="1:5" x14ac:dyDescent="0.35">
      <c r="A6" s="14" t="s">
        <v>28</v>
      </c>
      <c r="B6" s="17" t="e">
        <f>SUM([1]!education_roles[Duration_Days])</f>
        <v>#REF!</v>
      </c>
    </row>
    <row r="7" spans="1:5" x14ac:dyDescent="0.35">
      <c r="A7" s="14" t="s">
        <v>29</v>
      </c>
      <c r="B7" s="13" t="e">
        <f>ROUND(SUM([1]!education_roles[Duration_Weeks]),1)</f>
        <v>#REF!</v>
      </c>
    </row>
    <row r="8" spans="1:5" x14ac:dyDescent="0.35">
      <c r="A8" s="14" t="s">
        <v>30</v>
      </c>
      <c r="B8" t="e">
        <f>ROUND(AVERAGE([1]!education_roles[Duration_Days]),0)</f>
        <v>#REF!</v>
      </c>
    </row>
    <row r="9" spans="1:5" x14ac:dyDescent="0.35">
      <c r="D9" s="14"/>
      <c r="E9" s="14"/>
    </row>
    <row r="10" spans="1:5" ht="15.5" x14ac:dyDescent="0.35">
      <c r="A10" s="18" t="s">
        <v>31</v>
      </c>
      <c r="B10">
        <f>COUNTIF([1]!education_roles[Country],"England")</f>
        <v>39</v>
      </c>
      <c r="D10" s="4"/>
    </row>
    <row r="11" spans="1:5" x14ac:dyDescent="0.35">
      <c r="A11" s="4" t="s">
        <v>3</v>
      </c>
      <c r="B11" s="4" t="s">
        <v>32</v>
      </c>
    </row>
    <row r="12" spans="1:5" x14ac:dyDescent="0.35">
      <c r="A12" t="str" cm="1">
        <f t="array" ref="A12:A14">_xlfn.UNIQUE(education_roles[Country])</f>
        <v>Honduras</v>
      </c>
      <c r="B12">
        <f>COUNTIF(education_roles[Country], A12)</f>
        <v>1</v>
      </c>
    </row>
    <row r="13" spans="1:5" x14ac:dyDescent="0.35">
      <c r="A13" t="str">
        <v>England</v>
      </c>
    </row>
    <row r="14" spans="1:5" x14ac:dyDescent="0.35">
      <c r="A14" t="str">
        <v>Online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ED2-4A96-48D1-9672-30C4BCB785B7}">
  <dimension ref="A3:C5"/>
  <sheetViews>
    <sheetView workbookViewId="0">
      <selection activeCell="A3" sqref="A3"/>
    </sheetView>
  </sheetViews>
  <sheetFormatPr defaultRowHeight="14.5" x14ac:dyDescent="0.35"/>
  <cols>
    <col min="1" max="1" width="20.08984375" bestFit="1" customWidth="1"/>
    <col min="2" max="2" width="16.1796875" bestFit="1" customWidth="1"/>
    <col min="3" max="3" width="12.1796875" bestFit="1" customWidth="1"/>
  </cols>
  <sheetData>
    <row r="3" spans="1:3" x14ac:dyDescent="0.35">
      <c r="A3" t="s">
        <v>3</v>
      </c>
      <c r="B3" t="s">
        <v>1</v>
      </c>
      <c r="C3" t="s">
        <v>33</v>
      </c>
    </row>
    <row r="4" spans="1:3" x14ac:dyDescent="0.35">
      <c r="A4" t="s">
        <v>14</v>
      </c>
      <c r="B4" t="s">
        <v>12</v>
      </c>
      <c r="C4">
        <v>38</v>
      </c>
    </row>
    <row r="5" spans="1:3" x14ac:dyDescent="0.35">
      <c r="A5" t="s">
        <v>11</v>
      </c>
      <c r="B5" t="s">
        <v>9</v>
      </c>
      <c r="C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8C07-752C-4866-B18C-E20325EA5D0D}">
  <dimension ref="A3:B28"/>
  <sheetViews>
    <sheetView workbookViewId="0">
      <selection activeCell="E6" sqref="E6"/>
    </sheetView>
  </sheetViews>
  <sheetFormatPr defaultRowHeight="14.5" x14ac:dyDescent="0.35"/>
  <cols>
    <col min="1" max="1" width="19.6328125" bestFit="1" customWidth="1"/>
    <col min="2" max="2" width="19.7265625" bestFit="1" customWidth="1"/>
  </cols>
  <sheetData>
    <row r="3" spans="1:2" x14ac:dyDescent="0.35">
      <c r="A3" s="20" t="s">
        <v>58</v>
      </c>
      <c r="B3" t="s">
        <v>60</v>
      </c>
    </row>
    <row r="4" spans="1:2" x14ac:dyDescent="0.35">
      <c r="A4" s="10" t="s">
        <v>57</v>
      </c>
      <c r="B4" s="17">
        <v>1944</v>
      </c>
    </row>
    <row r="5" spans="1:2" x14ac:dyDescent="0.35">
      <c r="A5" s="10" t="s">
        <v>34</v>
      </c>
      <c r="B5" s="17">
        <v>67</v>
      </c>
    </row>
    <row r="6" spans="1:2" x14ac:dyDescent="0.35">
      <c r="A6" s="10" t="s">
        <v>35</v>
      </c>
      <c r="B6" s="17">
        <v>67</v>
      </c>
    </row>
    <row r="7" spans="1:2" x14ac:dyDescent="0.35">
      <c r="A7" s="10" t="s">
        <v>36</v>
      </c>
      <c r="B7" s="17">
        <v>7</v>
      </c>
    </row>
    <row r="8" spans="1:2" x14ac:dyDescent="0.35">
      <c r="A8" s="10" t="s">
        <v>37</v>
      </c>
      <c r="B8" s="17">
        <v>4</v>
      </c>
    </row>
    <row r="9" spans="1:2" x14ac:dyDescent="0.35">
      <c r="A9" s="10" t="s">
        <v>38</v>
      </c>
      <c r="B9" s="17">
        <v>0</v>
      </c>
    </row>
    <row r="10" spans="1:2" x14ac:dyDescent="0.35">
      <c r="A10" s="10" t="s">
        <v>55</v>
      </c>
      <c r="B10" s="17">
        <v>13</v>
      </c>
    </row>
    <row r="11" spans="1:2" x14ac:dyDescent="0.35">
      <c r="A11" s="10" t="s">
        <v>46</v>
      </c>
      <c r="B11" s="17">
        <v>20</v>
      </c>
    </row>
    <row r="12" spans="1:2" x14ac:dyDescent="0.35">
      <c r="A12" s="10" t="s">
        <v>53</v>
      </c>
      <c r="B12" s="17">
        <v>12</v>
      </c>
    </row>
    <row r="13" spans="1:2" x14ac:dyDescent="0.35">
      <c r="A13" s="10" t="s">
        <v>52</v>
      </c>
      <c r="B13" s="17">
        <v>16</v>
      </c>
    </row>
    <row r="14" spans="1:2" x14ac:dyDescent="0.35">
      <c r="A14" s="10" t="s">
        <v>39</v>
      </c>
      <c r="B14" s="17">
        <v>1</v>
      </c>
    </row>
    <row r="15" spans="1:2" x14ac:dyDescent="0.35">
      <c r="A15" s="10" t="s">
        <v>56</v>
      </c>
      <c r="B15" s="17">
        <v>2</v>
      </c>
    </row>
    <row r="16" spans="1:2" x14ac:dyDescent="0.35">
      <c r="A16" s="10" t="s">
        <v>40</v>
      </c>
      <c r="B16" s="17">
        <v>1</v>
      </c>
    </row>
    <row r="17" spans="1:2" x14ac:dyDescent="0.35">
      <c r="A17" s="10" t="s">
        <v>41</v>
      </c>
      <c r="B17" s="17">
        <v>1</v>
      </c>
    </row>
    <row r="18" spans="1:2" x14ac:dyDescent="0.35">
      <c r="A18" s="10" t="s">
        <v>42</v>
      </c>
      <c r="B18" s="17">
        <v>14</v>
      </c>
    </row>
    <row r="19" spans="1:2" x14ac:dyDescent="0.35">
      <c r="A19" s="10" t="s">
        <v>54</v>
      </c>
      <c r="B19" s="17">
        <v>1</v>
      </c>
    </row>
    <row r="20" spans="1:2" x14ac:dyDescent="0.35">
      <c r="A20" s="10" t="s">
        <v>43</v>
      </c>
      <c r="B20" s="17">
        <v>1</v>
      </c>
    </row>
    <row r="21" spans="1:2" x14ac:dyDescent="0.35">
      <c r="A21" s="10" t="s">
        <v>49</v>
      </c>
      <c r="B21" s="17">
        <v>4</v>
      </c>
    </row>
    <row r="22" spans="1:2" x14ac:dyDescent="0.35">
      <c r="A22" s="10" t="s">
        <v>50</v>
      </c>
      <c r="B22" s="17">
        <v>1</v>
      </c>
    </row>
    <row r="23" spans="1:2" x14ac:dyDescent="0.35">
      <c r="A23" s="10" t="s">
        <v>51</v>
      </c>
      <c r="B23" s="17">
        <v>2</v>
      </c>
    </row>
    <row r="24" spans="1:2" x14ac:dyDescent="0.35">
      <c r="A24" s="10" t="s">
        <v>44</v>
      </c>
      <c r="B24" s="17">
        <v>1</v>
      </c>
    </row>
    <row r="25" spans="1:2" x14ac:dyDescent="0.35">
      <c r="A25" s="10" t="s">
        <v>45</v>
      </c>
      <c r="B25" s="17">
        <v>1</v>
      </c>
    </row>
    <row r="26" spans="1:2" x14ac:dyDescent="0.35">
      <c r="A26" s="10" t="s">
        <v>47</v>
      </c>
      <c r="B26" s="17">
        <v>102</v>
      </c>
    </row>
    <row r="27" spans="1:2" x14ac:dyDescent="0.35">
      <c r="A27" s="10" t="s">
        <v>48</v>
      </c>
      <c r="B27" s="17">
        <v>368</v>
      </c>
    </row>
    <row r="28" spans="1:2" x14ac:dyDescent="0.35">
      <c r="A28" s="10" t="s">
        <v>59</v>
      </c>
      <c r="B28" s="17">
        <v>2650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DB11-2B51-49C1-B8BD-1015116E816F}">
  <dimension ref="A1:K46"/>
  <sheetViews>
    <sheetView topLeftCell="A27" workbookViewId="0">
      <selection activeCell="C41" sqref="C41"/>
    </sheetView>
  </sheetViews>
  <sheetFormatPr defaultRowHeight="14.5" x14ac:dyDescent="0.35"/>
  <cols>
    <col min="1" max="1" width="19.6328125" bestFit="1" customWidth="1"/>
    <col min="2" max="2" width="18.26953125" bestFit="1" customWidth="1"/>
    <col min="3" max="3" width="16.453125" bestFit="1" customWidth="1"/>
    <col min="5" max="5" width="12.81640625" bestFit="1" customWidth="1"/>
    <col min="6" max="6" width="11.90625" bestFit="1" customWidth="1"/>
    <col min="7" max="7" width="25.08984375" bestFit="1" customWidth="1"/>
    <col min="8" max="8" width="16.7265625" bestFit="1" customWidth="1"/>
    <col min="9" max="9" width="18.54296875" bestFit="1" customWidth="1"/>
    <col min="10" max="10" width="14.90625" bestFit="1" customWidth="1"/>
  </cols>
  <sheetData>
    <row r="1" spans="1:11" ht="15.5" x14ac:dyDescent="0.35">
      <c r="A1" s="1" t="s">
        <v>71</v>
      </c>
      <c r="B1" s="1" t="s">
        <v>1</v>
      </c>
      <c r="C1" s="1" t="s">
        <v>66</v>
      </c>
      <c r="D1" s="1" t="s">
        <v>2</v>
      </c>
      <c r="E1" s="1" t="s">
        <v>3</v>
      </c>
      <c r="F1" s="2" t="s">
        <v>4</v>
      </c>
      <c r="G1" s="2" t="s">
        <v>5</v>
      </c>
      <c r="H1" s="3" t="s">
        <v>6</v>
      </c>
      <c r="I1" s="3" t="s">
        <v>7</v>
      </c>
      <c r="J1" s="1" t="s">
        <v>8</v>
      </c>
      <c r="K1" s="23" t="s">
        <v>65</v>
      </c>
    </row>
    <row r="2" spans="1:11" x14ac:dyDescent="0.35">
      <c r="A2" s="5" t="s">
        <v>57</v>
      </c>
      <c r="B2" s="5" t="s">
        <v>9</v>
      </c>
      <c r="C2" s="5" t="s">
        <v>67</v>
      </c>
      <c r="D2" s="5" t="s">
        <v>10</v>
      </c>
      <c r="E2" s="5" t="s">
        <v>11</v>
      </c>
      <c r="F2" s="6">
        <v>41506</v>
      </c>
      <c r="G2" s="6">
        <v>43450</v>
      </c>
      <c r="H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63 months, 26 days</v>
      </c>
      <c r="I2" s="7">
        <f ca="1">IF(WorkHistory[[#This Row],[End_Date]]="",TODAY()-WorkHistory[[#This Row],[Start_Date]],WorkHistory[[#This Row],[End_Date]]-WorkHistory[[#This Row],[Start_Date]])</f>
        <v>1944</v>
      </c>
      <c r="J2" s="8">
        <f ca="1">WorkHistory[[#This Row],[Duration_Days]]/7</f>
        <v>277.71428571428572</v>
      </c>
      <c r="K2" s="22">
        <f t="shared" ref="K2:K41" si="0">YEAR(F2)</f>
        <v>2013</v>
      </c>
    </row>
    <row r="3" spans="1:11" x14ac:dyDescent="0.35">
      <c r="A3" s="11" t="s">
        <v>34</v>
      </c>
      <c r="B3" s="11" t="s">
        <v>12</v>
      </c>
      <c r="C3" s="5" t="s">
        <v>67</v>
      </c>
      <c r="D3" s="11" t="s">
        <v>13</v>
      </c>
      <c r="E3" s="11" t="s">
        <v>14</v>
      </c>
      <c r="F3" s="12">
        <v>44452</v>
      </c>
      <c r="G3" s="12">
        <v>44519</v>
      </c>
      <c r="H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2 months, 6 days</v>
      </c>
      <c r="I3" s="7">
        <f ca="1">IF(WorkHistory[[#This Row],[End_Date]]="",TODAY()-WorkHistory[[#This Row],[Start_Date]],WorkHistory[[#This Row],[End_Date]]-WorkHistory[[#This Row],[Start_Date]])</f>
        <v>67</v>
      </c>
      <c r="J3" s="8">
        <f ca="1">WorkHistory[[#This Row],[Duration_Days]]/7</f>
        <v>9.5714285714285712</v>
      </c>
      <c r="K3" s="22">
        <f t="shared" si="0"/>
        <v>2021</v>
      </c>
    </row>
    <row r="4" spans="1:11" x14ac:dyDescent="0.35">
      <c r="A4" s="11" t="s">
        <v>35</v>
      </c>
      <c r="B4" s="11" t="s">
        <v>12</v>
      </c>
      <c r="C4" s="5" t="s">
        <v>67</v>
      </c>
      <c r="D4" s="11" t="s">
        <v>15</v>
      </c>
      <c r="E4" s="11" t="s">
        <v>14</v>
      </c>
      <c r="F4" s="12">
        <v>44522</v>
      </c>
      <c r="G4" s="12">
        <v>44589</v>
      </c>
      <c r="H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2 months, 6 days</v>
      </c>
      <c r="I4" s="7">
        <f ca="1">IF(WorkHistory[[#This Row],[End_Date]]="",TODAY()-WorkHistory[[#This Row],[Start_Date]],WorkHistory[[#This Row],[End_Date]]-WorkHistory[[#This Row],[Start_Date]])</f>
        <v>67</v>
      </c>
      <c r="J4" s="8">
        <f ca="1">WorkHistory[[#This Row],[Duration_Days]]/7</f>
        <v>9.5714285714285712</v>
      </c>
      <c r="K4" s="22">
        <f t="shared" si="0"/>
        <v>2021</v>
      </c>
    </row>
    <row r="5" spans="1:11" x14ac:dyDescent="0.35">
      <c r="A5" s="11" t="s">
        <v>36</v>
      </c>
      <c r="B5" s="11" t="s">
        <v>12</v>
      </c>
      <c r="C5" s="5" t="s">
        <v>67</v>
      </c>
      <c r="D5" s="11" t="s">
        <v>16</v>
      </c>
      <c r="E5" s="11" t="s">
        <v>14</v>
      </c>
      <c r="F5" s="12">
        <v>44593</v>
      </c>
      <c r="G5" s="12">
        <v>44600</v>
      </c>
      <c r="H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7 days</v>
      </c>
      <c r="I5" s="7">
        <f ca="1">IF(WorkHistory[[#This Row],[End_Date]]="",TODAY()-WorkHistory[[#This Row],[Start_Date]],WorkHistory[[#This Row],[End_Date]]-WorkHistory[[#This Row],[Start_Date]])</f>
        <v>7</v>
      </c>
      <c r="J5" s="8">
        <f ca="1">WorkHistory[[#This Row],[Duration_Days]]/7</f>
        <v>1</v>
      </c>
      <c r="K5" s="22">
        <f t="shared" si="0"/>
        <v>2022</v>
      </c>
    </row>
    <row r="6" spans="1:11" x14ac:dyDescent="0.35">
      <c r="A6" s="11" t="s">
        <v>37</v>
      </c>
      <c r="B6" s="11" t="s">
        <v>12</v>
      </c>
      <c r="C6" s="5" t="s">
        <v>67</v>
      </c>
      <c r="D6" t="s">
        <v>17</v>
      </c>
      <c r="E6" s="11" t="s">
        <v>14</v>
      </c>
      <c r="F6" s="12">
        <v>44613</v>
      </c>
      <c r="G6" s="12">
        <v>44617</v>
      </c>
      <c r="H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6" s="7">
        <f ca="1">IF(WorkHistory[[#This Row],[End_Date]]="",TODAY()-WorkHistory[[#This Row],[Start_Date]],WorkHistory[[#This Row],[End_Date]]-WorkHistory[[#This Row],[Start_Date]])</f>
        <v>4</v>
      </c>
      <c r="J6" s="8">
        <f ca="1">WorkHistory[[#This Row],[Duration_Days]]/7</f>
        <v>0.5714285714285714</v>
      </c>
      <c r="K6" s="22">
        <f t="shared" si="0"/>
        <v>2022</v>
      </c>
    </row>
    <row r="7" spans="1:11" x14ac:dyDescent="0.35">
      <c r="A7" s="11" t="s">
        <v>38</v>
      </c>
      <c r="B7" s="11" t="s">
        <v>12</v>
      </c>
      <c r="C7" s="5" t="s">
        <v>67</v>
      </c>
      <c r="D7" t="s">
        <v>18</v>
      </c>
      <c r="E7" s="11" t="s">
        <v>14</v>
      </c>
      <c r="F7" s="12">
        <v>44620</v>
      </c>
      <c r="G7" s="12">
        <v>44620</v>
      </c>
      <c r="H7"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0 days</v>
      </c>
      <c r="I7" s="7">
        <f ca="1">IF(WorkHistory[[#This Row],[End_Date]]="",TODAY()-WorkHistory[[#This Row],[Start_Date]],WorkHistory[[#This Row],[End_Date]]-WorkHistory[[#This Row],[Start_Date]])</f>
        <v>0</v>
      </c>
      <c r="J7" s="8">
        <f ca="1">WorkHistory[[#This Row],[Duration_Days]]/7</f>
        <v>0</v>
      </c>
      <c r="K7" s="22">
        <f t="shared" si="0"/>
        <v>2022</v>
      </c>
    </row>
    <row r="8" spans="1:11" x14ac:dyDescent="0.35">
      <c r="A8" s="11" t="s">
        <v>55</v>
      </c>
      <c r="B8" s="11" t="s">
        <v>12</v>
      </c>
      <c r="C8" s="5" t="s">
        <v>67</v>
      </c>
      <c r="D8" t="s">
        <v>19</v>
      </c>
      <c r="E8" s="11" t="s">
        <v>14</v>
      </c>
      <c r="F8" s="12">
        <v>44621</v>
      </c>
      <c r="G8" s="12">
        <v>44624</v>
      </c>
      <c r="H8"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3 days</v>
      </c>
      <c r="I8" s="7">
        <f ca="1">IF(WorkHistory[[#This Row],[End_Date]]="",TODAY()-WorkHistory[[#This Row],[Start_Date]],WorkHistory[[#This Row],[End_Date]]-WorkHistory[[#This Row],[Start_Date]])</f>
        <v>3</v>
      </c>
      <c r="J8" s="8">
        <f ca="1">WorkHistory[[#This Row],[Duration_Days]]/7</f>
        <v>0.42857142857142855</v>
      </c>
      <c r="K8" s="22">
        <f t="shared" si="0"/>
        <v>2022</v>
      </c>
    </row>
    <row r="9" spans="1:11" x14ac:dyDescent="0.35">
      <c r="A9" s="11" t="s">
        <v>46</v>
      </c>
      <c r="B9" s="11" t="s">
        <v>12</v>
      </c>
      <c r="C9" s="5" t="s">
        <v>67</v>
      </c>
      <c r="D9" s="11" t="s">
        <v>16</v>
      </c>
      <c r="E9" s="11" t="s">
        <v>14</v>
      </c>
      <c r="F9" s="12">
        <v>44627</v>
      </c>
      <c r="G9" s="12">
        <v>44631</v>
      </c>
      <c r="H9"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9" s="7">
        <f ca="1">IF(WorkHistory[[#This Row],[End_Date]]="",TODAY()-WorkHistory[[#This Row],[Start_Date]],WorkHistory[[#This Row],[End_Date]]-WorkHistory[[#This Row],[Start_Date]])</f>
        <v>4</v>
      </c>
      <c r="J9" s="8">
        <f ca="1">WorkHistory[[#This Row],[Duration_Days]]/7</f>
        <v>0.5714285714285714</v>
      </c>
      <c r="K9" s="22">
        <f t="shared" si="0"/>
        <v>2022</v>
      </c>
    </row>
    <row r="10" spans="1:11" x14ac:dyDescent="0.35">
      <c r="A10" s="11" t="s">
        <v>55</v>
      </c>
      <c r="B10" s="11" t="s">
        <v>12</v>
      </c>
      <c r="C10" s="5" t="s">
        <v>67</v>
      </c>
      <c r="D10" s="11" t="s">
        <v>19</v>
      </c>
      <c r="E10" s="11" t="s">
        <v>14</v>
      </c>
      <c r="F10" s="12">
        <v>44634</v>
      </c>
      <c r="G10" s="12">
        <v>44644</v>
      </c>
      <c r="H10"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10 days</v>
      </c>
      <c r="I10" s="7">
        <f ca="1">IF(WorkHistory[[#This Row],[End_Date]]="",TODAY()-WorkHistory[[#This Row],[Start_Date]],WorkHistory[[#This Row],[End_Date]]-WorkHistory[[#This Row],[Start_Date]])</f>
        <v>10</v>
      </c>
      <c r="J10" s="8">
        <f ca="1">WorkHistory[[#This Row],[Duration_Days]]/7</f>
        <v>1.4285714285714286</v>
      </c>
      <c r="K10" s="22">
        <f t="shared" si="0"/>
        <v>2022</v>
      </c>
    </row>
    <row r="11" spans="1:11" x14ac:dyDescent="0.35">
      <c r="A11" s="11" t="s">
        <v>53</v>
      </c>
      <c r="B11" s="11" t="s">
        <v>12</v>
      </c>
      <c r="C11" s="5" t="s">
        <v>67</v>
      </c>
      <c r="D11" t="s">
        <v>20</v>
      </c>
      <c r="E11" s="11" t="s">
        <v>14</v>
      </c>
      <c r="F11" s="12">
        <v>44648</v>
      </c>
      <c r="G11" s="12">
        <v>44659</v>
      </c>
      <c r="H11"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11 days</v>
      </c>
      <c r="I11" s="7">
        <f ca="1">IF(WorkHistory[[#This Row],[End_Date]]="",TODAY()-WorkHistory[[#This Row],[Start_Date]],WorkHistory[[#This Row],[End_Date]]-WorkHistory[[#This Row],[Start_Date]])</f>
        <v>11</v>
      </c>
      <c r="J11" s="8">
        <f ca="1">WorkHistory[[#This Row],[Duration_Days]]/7</f>
        <v>1.5714285714285714</v>
      </c>
      <c r="K11" s="22">
        <f t="shared" si="0"/>
        <v>2022</v>
      </c>
    </row>
    <row r="12" spans="1:11" x14ac:dyDescent="0.35">
      <c r="A12" s="11" t="s">
        <v>52</v>
      </c>
      <c r="B12" s="11" t="s">
        <v>12</v>
      </c>
      <c r="C12" s="5" t="s">
        <v>67</v>
      </c>
      <c r="D12" s="11" t="s">
        <v>17</v>
      </c>
      <c r="E12" s="11" t="s">
        <v>14</v>
      </c>
      <c r="F12" s="12">
        <v>44676</v>
      </c>
      <c r="G12" s="12">
        <v>44680</v>
      </c>
      <c r="H1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12" s="7">
        <f ca="1">IF(WorkHistory[[#This Row],[End_Date]]="",TODAY()-WorkHistory[[#This Row],[Start_Date]],WorkHistory[[#This Row],[End_Date]]-WorkHistory[[#This Row],[Start_Date]])</f>
        <v>4</v>
      </c>
      <c r="J12" s="8">
        <f ca="1">WorkHistory[[#This Row],[Duration_Days]]/7</f>
        <v>0.5714285714285714</v>
      </c>
      <c r="K12" s="22">
        <f t="shared" si="0"/>
        <v>2022</v>
      </c>
    </row>
    <row r="13" spans="1:11" x14ac:dyDescent="0.35">
      <c r="A13" s="11" t="s">
        <v>39</v>
      </c>
      <c r="B13" s="11" t="s">
        <v>12</v>
      </c>
      <c r="C13" s="5" t="s">
        <v>67</v>
      </c>
      <c r="D13" s="11" t="s">
        <v>17</v>
      </c>
      <c r="E13" s="11" t="s">
        <v>14</v>
      </c>
      <c r="F13" s="12">
        <v>44684</v>
      </c>
      <c r="G13" s="12">
        <v>44685</v>
      </c>
      <c r="H1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3" s="7">
        <f ca="1">IF(WorkHistory[[#This Row],[End_Date]]="",TODAY()-WorkHistory[[#This Row],[Start_Date]],WorkHistory[[#This Row],[End_Date]]-WorkHistory[[#This Row],[Start_Date]])</f>
        <v>1</v>
      </c>
      <c r="J13" s="8">
        <f ca="1">WorkHistory[[#This Row],[Duration_Days]]/7</f>
        <v>0.14285714285714285</v>
      </c>
      <c r="K13" s="22">
        <f t="shared" si="0"/>
        <v>2022</v>
      </c>
    </row>
    <row r="14" spans="1:11" x14ac:dyDescent="0.35">
      <c r="A14" s="11" t="s">
        <v>56</v>
      </c>
      <c r="B14" s="11" t="s">
        <v>12</v>
      </c>
      <c r="C14" s="5" t="s">
        <v>67</v>
      </c>
      <c r="D14" s="11" t="s">
        <v>15</v>
      </c>
      <c r="E14" s="11" t="s">
        <v>14</v>
      </c>
      <c r="F14" s="12">
        <v>44685</v>
      </c>
      <c r="G14" s="12">
        <v>44687</v>
      </c>
      <c r="H1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2 days</v>
      </c>
      <c r="I14" s="7">
        <f ca="1">IF(WorkHistory[[#This Row],[End_Date]]="",TODAY()-WorkHistory[[#This Row],[Start_Date]],WorkHistory[[#This Row],[End_Date]]-WorkHistory[[#This Row],[Start_Date]])</f>
        <v>2</v>
      </c>
      <c r="J14" s="8">
        <f ca="1">WorkHistory[[#This Row],[Duration_Days]]/7</f>
        <v>0.2857142857142857</v>
      </c>
      <c r="K14" s="22">
        <f t="shared" si="0"/>
        <v>2022</v>
      </c>
    </row>
    <row r="15" spans="1:11" x14ac:dyDescent="0.35">
      <c r="A15" s="11" t="s">
        <v>40</v>
      </c>
      <c r="B15" s="11" t="s">
        <v>12</v>
      </c>
      <c r="C15" s="5" t="s">
        <v>67</v>
      </c>
      <c r="D15" s="11" t="s">
        <v>17</v>
      </c>
      <c r="E15" s="11" t="s">
        <v>14</v>
      </c>
      <c r="F15" s="12">
        <v>44690</v>
      </c>
      <c r="G15" s="12">
        <v>44691</v>
      </c>
      <c r="H1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5" s="7">
        <f ca="1">IF(WorkHistory[[#This Row],[End_Date]]="",TODAY()-WorkHistory[[#This Row],[Start_Date]],WorkHistory[[#This Row],[End_Date]]-WorkHistory[[#This Row],[Start_Date]])</f>
        <v>1</v>
      </c>
      <c r="J15" s="8">
        <f ca="1">WorkHistory[[#This Row],[Duration_Days]]/7</f>
        <v>0.14285714285714285</v>
      </c>
      <c r="K15" s="22">
        <f t="shared" si="0"/>
        <v>2022</v>
      </c>
    </row>
    <row r="16" spans="1:11" x14ac:dyDescent="0.35">
      <c r="A16" s="11" t="s">
        <v>41</v>
      </c>
      <c r="B16" s="11" t="s">
        <v>12</v>
      </c>
      <c r="C16" s="5" t="s">
        <v>67</v>
      </c>
      <c r="D16" t="s">
        <v>22</v>
      </c>
      <c r="E16" s="11" t="s">
        <v>14</v>
      </c>
      <c r="F16" s="12">
        <v>44691</v>
      </c>
      <c r="G16" s="12">
        <v>44692</v>
      </c>
      <c r="H1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6" s="7">
        <f ca="1">IF(WorkHistory[[#This Row],[End_Date]]="",TODAY()-WorkHistory[[#This Row],[Start_Date]],WorkHistory[[#This Row],[End_Date]]-WorkHistory[[#This Row],[Start_Date]])</f>
        <v>1</v>
      </c>
      <c r="J16" s="8">
        <f ca="1">WorkHistory[[#This Row],[Duration_Days]]/7</f>
        <v>0.14285714285714285</v>
      </c>
      <c r="K16" s="22">
        <f t="shared" si="0"/>
        <v>2022</v>
      </c>
    </row>
    <row r="17" spans="1:11" x14ac:dyDescent="0.35">
      <c r="A17" s="11" t="s">
        <v>42</v>
      </c>
      <c r="B17" s="11" t="s">
        <v>12</v>
      </c>
      <c r="C17" s="5" t="s">
        <v>67</v>
      </c>
      <c r="D17" s="11" t="s">
        <v>19</v>
      </c>
      <c r="E17" s="11" t="s">
        <v>14</v>
      </c>
      <c r="F17" s="12">
        <v>44693</v>
      </c>
      <c r="G17" s="12">
        <v>44694</v>
      </c>
      <c r="H17"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7" s="7">
        <f ca="1">IF(WorkHistory[[#This Row],[End_Date]]="",TODAY()-WorkHistory[[#This Row],[Start_Date]],WorkHistory[[#This Row],[End_Date]]-WorkHistory[[#This Row],[Start_Date]])</f>
        <v>1</v>
      </c>
      <c r="J17" s="8">
        <f ca="1">WorkHistory[[#This Row],[Duration_Days]]/7</f>
        <v>0.14285714285714285</v>
      </c>
      <c r="K17" s="22">
        <f t="shared" si="0"/>
        <v>2022</v>
      </c>
    </row>
    <row r="18" spans="1:11" x14ac:dyDescent="0.35">
      <c r="A18" s="19" t="s">
        <v>52</v>
      </c>
      <c r="B18" s="11" t="s">
        <v>12</v>
      </c>
      <c r="C18" s="5" t="s">
        <v>67</v>
      </c>
      <c r="D18" s="11" t="s">
        <v>17</v>
      </c>
      <c r="E18" s="11" t="s">
        <v>14</v>
      </c>
      <c r="F18" s="12">
        <v>44697</v>
      </c>
      <c r="G18" s="12">
        <v>44701</v>
      </c>
      <c r="H18"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18" s="7">
        <f ca="1">IF(WorkHistory[[#This Row],[End_Date]]="",TODAY()-WorkHistory[[#This Row],[Start_Date]],WorkHistory[[#This Row],[End_Date]]-WorkHistory[[#This Row],[Start_Date]])</f>
        <v>4</v>
      </c>
      <c r="J18" s="8">
        <f ca="1">WorkHistory[[#This Row],[Duration_Days]]/7</f>
        <v>0.5714285714285714</v>
      </c>
      <c r="K18" s="22">
        <f t="shared" si="0"/>
        <v>2022</v>
      </c>
    </row>
    <row r="19" spans="1:11" x14ac:dyDescent="0.35">
      <c r="A19" s="11" t="s">
        <v>54</v>
      </c>
      <c r="B19" s="11" t="s">
        <v>12</v>
      </c>
      <c r="C19" s="5" t="s">
        <v>67</v>
      </c>
      <c r="D19" s="11" t="s">
        <v>17</v>
      </c>
      <c r="E19" s="11" t="s">
        <v>14</v>
      </c>
      <c r="F19" s="12">
        <v>44704</v>
      </c>
      <c r="G19" s="12">
        <v>44705</v>
      </c>
      <c r="H19"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19" s="7">
        <f ca="1">IF(WorkHistory[[#This Row],[End_Date]]="",TODAY()-WorkHistory[[#This Row],[Start_Date]],WorkHistory[[#This Row],[End_Date]]-WorkHistory[[#This Row],[Start_Date]])</f>
        <v>1</v>
      </c>
      <c r="J19" s="8">
        <f ca="1">WorkHistory[[#This Row],[Duration_Days]]/7</f>
        <v>0.14285714285714285</v>
      </c>
      <c r="K19" s="22">
        <f t="shared" si="0"/>
        <v>2022</v>
      </c>
    </row>
    <row r="20" spans="1:11" x14ac:dyDescent="0.35">
      <c r="A20" s="11" t="s">
        <v>52</v>
      </c>
      <c r="B20" s="11" t="s">
        <v>12</v>
      </c>
      <c r="C20" s="5" t="s">
        <v>67</v>
      </c>
      <c r="D20" s="11" t="s">
        <v>17</v>
      </c>
      <c r="E20" s="11" t="s">
        <v>14</v>
      </c>
      <c r="F20" s="12">
        <v>44705</v>
      </c>
      <c r="G20" s="12">
        <v>44708</v>
      </c>
      <c r="H20"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3 days</v>
      </c>
      <c r="I20" s="7">
        <f ca="1">IF(WorkHistory[[#This Row],[End_Date]]="",TODAY()-WorkHistory[[#This Row],[Start_Date]],WorkHistory[[#This Row],[End_Date]]-WorkHistory[[#This Row],[Start_Date]])</f>
        <v>3</v>
      </c>
      <c r="J20" s="8">
        <f ca="1">WorkHistory[[#This Row],[Duration_Days]]/7</f>
        <v>0.42857142857142855</v>
      </c>
      <c r="K20" s="22">
        <f t="shared" si="0"/>
        <v>2022</v>
      </c>
    </row>
    <row r="21" spans="1:11" x14ac:dyDescent="0.35">
      <c r="A21" s="11" t="s">
        <v>52</v>
      </c>
      <c r="B21" s="11" t="s">
        <v>12</v>
      </c>
      <c r="C21" s="5" t="s">
        <v>67</v>
      </c>
      <c r="D21" s="11" t="s">
        <v>17</v>
      </c>
      <c r="E21" s="11" t="s">
        <v>14</v>
      </c>
      <c r="F21" s="12">
        <v>44725</v>
      </c>
      <c r="G21" s="12">
        <v>44729</v>
      </c>
      <c r="H21"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21" s="7">
        <f ca="1">IF(WorkHistory[[#This Row],[End_Date]]="",TODAY()-WorkHistory[[#This Row],[Start_Date]],WorkHistory[[#This Row],[End_Date]]-WorkHistory[[#This Row],[Start_Date]])</f>
        <v>4</v>
      </c>
      <c r="J21" s="8">
        <f ca="1">WorkHistory[[#This Row],[Duration_Days]]/7</f>
        <v>0.5714285714285714</v>
      </c>
      <c r="K21" s="22">
        <f t="shared" si="0"/>
        <v>2022</v>
      </c>
    </row>
    <row r="22" spans="1:11" x14ac:dyDescent="0.35">
      <c r="A22" s="11" t="s">
        <v>43</v>
      </c>
      <c r="B22" s="11" t="s">
        <v>12</v>
      </c>
      <c r="C22" s="5" t="s">
        <v>67</v>
      </c>
      <c r="D22" s="11" t="s">
        <v>17</v>
      </c>
      <c r="E22" s="11" t="s">
        <v>14</v>
      </c>
      <c r="F22" s="12">
        <v>44732</v>
      </c>
      <c r="G22" s="12">
        <v>44733</v>
      </c>
      <c r="H2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2" s="7">
        <f ca="1">IF(WorkHistory[[#This Row],[End_Date]]="",TODAY()-WorkHistory[[#This Row],[Start_Date]],WorkHistory[[#This Row],[End_Date]]-WorkHistory[[#This Row],[Start_Date]])</f>
        <v>1</v>
      </c>
      <c r="J22" s="8">
        <f ca="1">WorkHistory[[#This Row],[Duration_Days]]/7</f>
        <v>0.14285714285714285</v>
      </c>
      <c r="K22" s="22">
        <f t="shared" si="0"/>
        <v>2022</v>
      </c>
    </row>
    <row r="23" spans="1:11" x14ac:dyDescent="0.35">
      <c r="A23" s="11" t="s">
        <v>42</v>
      </c>
      <c r="B23" s="11" t="s">
        <v>12</v>
      </c>
      <c r="C23" s="5" t="s">
        <v>67</v>
      </c>
      <c r="D23" s="11" t="s">
        <v>19</v>
      </c>
      <c r="E23" s="11" t="s">
        <v>14</v>
      </c>
      <c r="F23" s="12">
        <v>44733</v>
      </c>
      <c r="G23" s="12">
        <v>44734</v>
      </c>
      <c r="H2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3" s="7">
        <f ca="1">IF(WorkHistory[[#This Row],[End_Date]]="",TODAY()-WorkHistory[[#This Row],[Start_Date]],WorkHistory[[#This Row],[End_Date]]-WorkHistory[[#This Row],[Start_Date]])</f>
        <v>1</v>
      </c>
      <c r="J23" s="8">
        <f ca="1">WorkHistory[[#This Row],[Duration_Days]]/7</f>
        <v>0.14285714285714285</v>
      </c>
      <c r="K23" s="22">
        <f t="shared" si="0"/>
        <v>2022</v>
      </c>
    </row>
    <row r="24" spans="1:11" x14ac:dyDescent="0.35">
      <c r="A24" s="11" t="s">
        <v>42</v>
      </c>
      <c r="B24" s="11" t="s">
        <v>12</v>
      </c>
      <c r="C24" s="5" t="s">
        <v>67</v>
      </c>
      <c r="D24" s="11" t="s">
        <v>19</v>
      </c>
      <c r="E24" s="11" t="s">
        <v>14</v>
      </c>
      <c r="F24" s="12">
        <v>44735</v>
      </c>
      <c r="G24" s="12">
        <v>44736</v>
      </c>
      <c r="H2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4" s="7">
        <f ca="1">IF(WorkHistory[[#This Row],[End_Date]]="",TODAY()-WorkHistory[[#This Row],[Start_Date]],WorkHistory[[#This Row],[End_Date]]-WorkHistory[[#This Row],[Start_Date]])</f>
        <v>1</v>
      </c>
      <c r="J24" s="8">
        <f ca="1">WorkHistory[[#This Row],[Duration_Days]]/7</f>
        <v>0.14285714285714285</v>
      </c>
      <c r="K24" s="22">
        <f t="shared" si="0"/>
        <v>2022</v>
      </c>
    </row>
    <row r="25" spans="1:11" x14ac:dyDescent="0.35">
      <c r="A25" s="11" t="s">
        <v>49</v>
      </c>
      <c r="B25" s="11" t="s">
        <v>12</v>
      </c>
      <c r="C25" s="5" t="s">
        <v>67</v>
      </c>
      <c r="D25" s="11" t="s">
        <v>18</v>
      </c>
      <c r="E25" s="11" t="s">
        <v>14</v>
      </c>
      <c r="F25" s="12">
        <v>44739</v>
      </c>
      <c r="G25" s="12">
        <v>44743</v>
      </c>
      <c r="H2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25" s="7">
        <f ca="1">IF(WorkHistory[[#This Row],[End_Date]]="",TODAY()-WorkHistory[[#This Row],[Start_Date]],WorkHistory[[#This Row],[End_Date]]-WorkHistory[[#This Row],[Start_Date]])</f>
        <v>4</v>
      </c>
      <c r="J25" s="8">
        <f ca="1">WorkHistory[[#This Row],[Duration_Days]]/7</f>
        <v>0.5714285714285714</v>
      </c>
      <c r="K25" s="22">
        <f t="shared" si="0"/>
        <v>2022</v>
      </c>
    </row>
    <row r="26" spans="1:11" x14ac:dyDescent="0.35">
      <c r="A26" s="11" t="s">
        <v>50</v>
      </c>
      <c r="B26" s="11" t="s">
        <v>12</v>
      </c>
      <c r="C26" s="5" t="s">
        <v>67</v>
      </c>
      <c r="D26" s="11" t="s">
        <v>18</v>
      </c>
      <c r="E26" s="11" t="s">
        <v>14</v>
      </c>
      <c r="F26" s="12">
        <v>44746</v>
      </c>
      <c r="G26" s="12">
        <v>44747</v>
      </c>
      <c r="H2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6" s="7">
        <f ca="1">IF(WorkHistory[[#This Row],[End_Date]]="",TODAY()-WorkHistory[[#This Row],[Start_Date]],WorkHistory[[#This Row],[End_Date]]-WorkHistory[[#This Row],[Start_Date]])</f>
        <v>1</v>
      </c>
      <c r="J26" s="8">
        <f ca="1">WorkHistory[[#This Row],[Duration_Days]]/7</f>
        <v>0.14285714285714285</v>
      </c>
      <c r="K26" s="22">
        <f t="shared" si="0"/>
        <v>2022</v>
      </c>
    </row>
    <row r="27" spans="1:11" x14ac:dyDescent="0.35">
      <c r="A27" s="11" t="s">
        <v>51</v>
      </c>
      <c r="B27" s="11" t="s">
        <v>12</v>
      </c>
      <c r="C27" s="5" t="s">
        <v>67</v>
      </c>
      <c r="D27" s="11" t="s">
        <v>18</v>
      </c>
      <c r="E27" s="11" t="s">
        <v>14</v>
      </c>
      <c r="F27" s="12">
        <v>44748</v>
      </c>
      <c r="G27" s="12">
        <v>44749</v>
      </c>
      <c r="H27"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7" s="7">
        <f ca="1">IF(WorkHistory[[#This Row],[End_Date]]="",TODAY()-WorkHistory[[#This Row],[Start_Date]],WorkHistory[[#This Row],[End_Date]]-WorkHistory[[#This Row],[Start_Date]])</f>
        <v>1</v>
      </c>
      <c r="J27" s="8">
        <f ca="1">WorkHistory[[#This Row],[Duration_Days]]/7</f>
        <v>0.14285714285714285</v>
      </c>
      <c r="K27" s="22">
        <f t="shared" si="0"/>
        <v>2022</v>
      </c>
    </row>
    <row r="28" spans="1:11" x14ac:dyDescent="0.35">
      <c r="A28" s="11" t="s">
        <v>52</v>
      </c>
      <c r="B28" s="11" t="s">
        <v>12</v>
      </c>
      <c r="C28" s="5" t="s">
        <v>67</v>
      </c>
      <c r="D28" s="11" t="s">
        <v>17</v>
      </c>
      <c r="E28" s="11" t="s">
        <v>14</v>
      </c>
      <c r="F28" s="12">
        <v>44750</v>
      </c>
      <c r="G28" s="12">
        <v>44751</v>
      </c>
      <c r="H28"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8" s="7">
        <f ca="1">IF(WorkHistory[[#This Row],[End_Date]]="",TODAY()-WorkHistory[[#This Row],[Start_Date]],WorkHistory[[#This Row],[End_Date]]-WorkHistory[[#This Row],[Start_Date]])</f>
        <v>1</v>
      </c>
      <c r="J28" s="8">
        <f ca="1">WorkHistory[[#This Row],[Duration_Days]]/7</f>
        <v>0.14285714285714285</v>
      </c>
      <c r="K28" s="22">
        <f t="shared" si="0"/>
        <v>2022</v>
      </c>
    </row>
    <row r="29" spans="1:11" x14ac:dyDescent="0.35">
      <c r="A29" s="11" t="s">
        <v>51</v>
      </c>
      <c r="B29" s="11" t="s">
        <v>12</v>
      </c>
      <c r="C29" s="5" t="s">
        <v>67</v>
      </c>
      <c r="D29" s="11" t="s">
        <v>18</v>
      </c>
      <c r="E29" s="11" t="s">
        <v>14</v>
      </c>
      <c r="F29" s="12">
        <v>44753</v>
      </c>
      <c r="G29" s="12">
        <v>44754</v>
      </c>
      <c r="H29"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29" s="7">
        <f ca="1">IF(WorkHistory[[#This Row],[End_Date]]="",TODAY()-WorkHistory[[#This Row],[Start_Date]],WorkHistory[[#This Row],[End_Date]]-WorkHistory[[#This Row],[Start_Date]])</f>
        <v>1</v>
      </c>
      <c r="J29" s="8">
        <f ca="1">WorkHistory[[#This Row],[Duration_Days]]/7</f>
        <v>0.14285714285714285</v>
      </c>
      <c r="K29" s="22">
        <f t="shared" si="0"/>
        <v>2022</v>
      </c>
    </row>
    <row r="30" spans="1:11" x14ac:dyDescent="0.35">
      <c r="A30" s="11" t="s">
        <v>53</v>
      </c>
      <c r="B30" s="11" t="s">
        <v>12</v>
      </c>
      <c r="C30" s="5" t="s">
        <v>67</v>
      </c>
      <c r="D30" s="11" t="s">
        <v>20</v>
      </c>
      <c r="E30" s="11" t="s">
        <v>14</v>
      </c>
      <c r="F30" s="12">
        <v>44755</v>
      </c>
      <c r="G30" s="12">
        <v>44756</v>
      </c>
      <c r="H30"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0" s="7">
        <f ca="1">IF(WorkHistory[[#This Row],[End_Date]]="",TODAY()-WorkHistory[[#This Row],[Start_Date]],WorkHistory[[#This Row],[End_Date]]-WorkHistory[[#This Row],[Start_Date]])</f>
        <v>1</v>
      </c>
      <c r="J30" s="8">
        <f ca="1">WorkHistory[[#This Row],[Duration_Days]]/7</f>
        <v>0.14285714285714285</v>
      </c>
      <c r="K30" s="22">
        <f t="shared" si="0"/>
        <v>2022</v>
      </c>
    </row>
    <row r="31" spans="1:11" x14ac:dyDescent="0.35">
      <c r="A31" s="11" t="s">
        <v>44</v>
      </c>
      <c r="B31" s="11" t="s">
        <v>12</v>
      </c>
      <c r="C31" s="5" t="s">
        <v>67</v>
      </c>
      <c r="D31" s="11" t="s">
        <v>18</v>
      </c>
      <c r="E31" s="11" t="s">
        <v>14</v>
      </c>
      <c r="F31" s="12">
        <v>44756</v>
      </c>
      <c r="G31" s="12">
        <v>44757</v>
      </c>
      <c r="H31"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1" s="7">
        <f ca="1">IF(WorkHistory[[#This Row],[End_Date]]="",TODAY()-WorkHistory[[#This Row],[Start_Date]],WorkHistory[[#This Row],[End_Date]]-WorkHistory[[#This Row],[Start_Date]])</f>
        <v>1</v>
      </c>
      <c r="J31" s="8">
        <f ca="1">WorkHistory[[#This Row],[Duration_Days]]/7</f>
        <v>0.14285714285714285</v>
      </c>
      <c r="K31" s="22">
        <f t="shared" si="0"/>
        <v>2022</v>
      </c>
    </row>
    <row r="32" spans="1:11" x14ac:dyDescent="0.35">
      <c r="A32" s="11" t="s">
        <v>42</v>
      </c>
      <c r="B32" s="11" t="s">
        <v>12</v>
      </c>
      <c r="C32" s="5" t="s">
        <v>67</v>
      </c>
      <c r="D32" s="11" t="s">
        <v>19</v>
      </c>
      <c r="E32" s="11" t="s">
        <v>14</v>
      </c>
      <c r="F32" s="12">
        <v>44767</v>
      </c>
      <c r="G32" s="12">
        <v>44771</v>
      </c>
      <c r="H3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4 days</v>
      </c>
      <c r="I32" s="7">
        <f ca="1">IF(WorkHistory[[#This Row],[End_Date]]="",TODAY()-WorkHistory[[#This Row],[Start_Date]],WorkHistory[[#This Row],[End_Date]]-WorkHistory[[#This Row],[Start_Date]])</f>
        <v>4</v>
      </c>
      <c r="J32" s="8">
        <f ca="1">WorkHistory[[#This Row],[Duration_Days]]/7</f>
        <v>0.5714285714285714</v>
      </c>
      <c r="K32" s="22">
        <f t="shared" si="0"/>
        <v>2022</v>
      </c>
    </row>
    <row r="33" spans="1:11" x14ac:dyDescent="0.35">
      <c r="A33" s="11" t="s">
        <v>42</v>
      </c>
      <c r="B33" s="11" t="s">
        <v>12</v>
      </c>
      <c r="C33" s="5" t="s">
        <v>67</v>
      </c>
      <c r="D33" s="11" t="s">
        <v>19</v>
      </c>
      <c r="E33" s="11" t="s">
        <v>14</v>
      </c>
      <c r="F33" s="12">
        <v>44790</v>
      </c>
      <c r="G33" s="12">
        <v>44791</v>
      </c>
      <c r="H3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3" s="7">
        <f ca="1">IF(WorkHistory[[#This Row],[End_Date]]="",TODAY()-WorkHistory[[#This Row],[Start_Date]],WorkHistory[[#This Row],[End_Date]]-WorkHistory[[#This Row],[Start_Date]])</f>
        <v>1</v>
      </c>
      <c r="J33" s="8">
        <f ca="1">WorkHistory[[#This Row],[Duration_Days]]/7</f>
        <v>0.14285714285714285</v>
      </c>
      <c r="K33" s="22">
        <f t="shared" si="0"/>
        <v>2022</v>
      </c>
    </row>
    <row r="34" spans="1:11" x14ac:dyDescent="0.35">
      <c r="A34" s="11" t="s">
        <v>42</v>
      </c>
      <c r="B34" s="11" t="s">
        <v>12</v>
      </c>
      <c r="C34" s="5" t="s">
        <v>67</v>
      </c>
      <c r="D34" s="11" t="s">
        <v>19</v>
      </c>
      <c r="E34" s="11" t="s">
        <v>14</v>
      </c>
      <c r="F34" s="12">
        <v>44795</v>
      </c>
      <c r="G34" s="12">
        <v>44798</v>
      </c>
      <c r="H3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3 days</v>
      </c>
      <c r="I34" s="7">
        <f ca="1">IF(WorkHistory[[#This Row],[End_Date]]="",TODAY()-WorkHistory[[#This Row],[Start_Date]],WorkHistory[[#This Row],[End_Date]]-WorkHistory[[#This Row],[Start_Date]])</f>
        <v>3</v>
      </c>
      <c r="J34" s="8">
        <f ca="1">WorkHistory[[#This Row],[Duration_Days]]/7</f>
        <v>0.42857142857142855</v>
      </c>
      <c r="K34" s="22">
        <f t="shared" si="0"/>
        <v>2022</v>
      </c>
    </row>
    <row r="35" spans="1:11" x14ac:dyDescent="0.35">
      <c r="A35" s="11" t="s">
        <v>42</v>
      </c>
      <c r="B35" s="11" t="s">
        <v>12</v>
      </c>
      <c r="C35" s="5" t="s">
        <v>67</v>
      </c>
      <c r="D35" s="11" t="s">
        <v>19</v>
      </c>
      <c r="E35" s="11" t="s">
        <v>14</v>
      </c>
      <c r="F35" s="12">
        <v>44804</v>
      </c>
      <c r="G35" s="12">
        <v>44806</v>
      </c>
      <c r="H3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2 days</v>
      </c>
      <c r="I35" s="7">
        <f ca="1">IF(WorkHistory[[#This Row],[End_Date]]="",TODAY()-WorkHistory[[#This Row],[Start_Date]],WorkHistory[[#This Row],[End_Date]]-WorkHistory[[#This Row],[Start_Date]])</f>
        <v>2</v>
      </c>
      <c r="J35" s="8">
        <f ca="1">WorkHistory[[#This Row],[Duration_Days]]/7</f>
        <v>0.2857142857142857</v>
      </c>
      <c r="K35" s="22">
        <f t="shared" si="0"/>
        <v>2022</v>
      </c>
    </row>
    <row r="36" spans="1:11" x14ac:dyDescent="0.35">
      <c r="A36" s="11" t="s">
        <v>45</v>
      </c>
      <c r="B36" s="11" t="s">
        <v>12</v>
      </c>
      <c r="C36" s="5" t="s">
        <v>67</v>
      </c>
      <c r="D36" s="11" t="s">
        <v>15</v>
      </c>
      <c r="E36" s="11" t="s">
        <v>14</v>
      </c>
      <c r="F36" s="12">
        <v>44818</v>
      </c>
      <c r="G36" s="12">
        <v>44819</v>
      </c>
      <c r="H3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6" s="7">
        <f ca="1">IF(WorkHistory[[#This Row],[End_Date]]="",TODAY()-WorkHistory[[#This Row],[Start_Date]],WorkHistory[[#This Row],[End_Date]]-WorkHistory[[#This Row],[Start_Date]])</f>
        <v>1</v>
      </c>
      <c r="J36" s="8">
        <f ca="1">WorkHistory[[#This Row],[Duration_Days]]/7</f>
        <v>0.14285714285714285</v>
      </c>
      <c r="K36" s="22">
        <f t="shared" si="0"/>
        <v>2022</v>
      </c>
    </row>
    <row r="37" spans="1:11" x14ac:dyDescent="0.35">
      <c r="A37" s="11" t="s">
        <v>42</v>
      </c>
      <c r="B37" s="11" t="s">
        <v>12</v>
      </c>
      <c r="C37" s="5" t="s">
        <v>67</v>
      </c>
      <c r="D37" s="11" t="s">
        <v>19</v>
      </c>
      <c r="E37" s="11" t="s">
        <v>14</v>
      </c>
      <c r="F37" s="12">
        <v>44819</v>
      </c>
      <c r="G37" s="12">
        <v>44820</v>
      </c>
      <c r="H37"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 days</v>
      </c>
      <c r="I37" s="7">
        <f ca="1">IF(WorkHistory[[#This Row],[End_Date]]="",TODAY()-WorkHistory[[#This Row],[Start_Date]],WorkHistory[[#This Row],[End_Date]]-WorkHistory[[#This Row],[Start_Date]])</f>
        <v>1</v>
      </c>
      <c r="J37" s="8">
        <f ca="1">WorkHistory[[#This Row],[Duration_Days]]/7</f>
        <v>0.14285714285714285</v>
      </c>
      <c r="K37" s="22">
        <f t="shared" si="0"/>
        <v>2022</v>
      </c>
    </row>
    <row r="38" spans="1:11" x14ac:dyDescent="0.35">
      <c r="A38" s="11" t="s">
        <v>46</v>
      </c>
      <c r="B38" s="11" t="s">
        <v>12</v>
      </c>
      <c r="C38" s="5" t="s">
        <v>67</v>
      </c>
      <c r="D38" s="11" t="s">
        <v>16</v>
      </c>
      <c r="E38" s="11" t="s">
        <v>14</v>
      </c>
      <c r="F38" s="12">
        <v>45349</v>
      </c>
      <c r="G38" s="12">
        <v>45365</v>
      </c>
      <c r="H38"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0 months, 16 days</v>
      </c>
      <c r="I38" s="7">
        <f ca="1">IF(WorkHistory[[#This Row],[End_Date]]="",TODAY()-WorkHistory[[#This Row],[Start_Date]],WorkHistory[[#This Row],[End_Date]]-WorkHistory[[#This Row],[Start_Date]])</f>
        <v>16</v>
      </c>
      <c r="J38" s="8">
        <f ca="1">WorkHistory[[#This Row],[Duration_Days]]/7</f>
        <v>2.2857142857142856</v>
      </c>
      <c r="K38" s="22">
        <f t="shared" si="0"/>
        <v>2024</v>
      </c>
    </row>
    <row r="39" spans="1:11" x14ac:dyDescent="0.35">
      <c r="A39" t="s">
        <v>61</v>
      </c>
      <c r="B39" t="s">
        <v>9</v>
      </c>
      <c r="C39" s="5" t="s">
        <v>67</v>
      </c>
      <c r="D39" t="s">
        <v>23</v>
      </c>
      <c r="E39" t="s">
        <v>64</v>
      </c>
      <c r="F39" s="12">
        <v>45573</v>
      </c>
      <c r="G39" s="12">
        <v>45774</v>
      </c>
      <c r="H39"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6 months, 19 days</v>
      </c>
      <c r="I39" s="7">
        <f ca="1">IF(WorkHistory[[#This Row],[End_Date]]="",TODAY()-WorkHistory[[#This Row],[Start_Date]],WorkHistory[[#This Row],[End_Date]]-WorkHistory[[#This Row],[Start_Date]])</f>
        <v>201</v>
      </c>
      <c r="J39" s="13">
        <f ca="1">WorkHistory[[#This Row],[Duration_Days]]/7</f>
        <v>28.714285714285715</v>
      </c>
      <c r="K39" s="22">
        <f t="shared" si="0"/>
        <v>2024</v>
      </c>
    </row>
    <row r="40" spans="1:11" x14ac:dyDescent="0.35">
      <c r="A40" s="11" t="s">
        <v>48</v>
      </c>
      <c r="B40" s="11" t="s">
        <v>12</v>
      </c>
      <c r="C40" s="5" t="s">
        <v>67</v>
      </c>
      <c r="D40" t="s">
        <v>63</v>
      </c>
      <c r="E40" s="11" t="s">
        <v>14</v>
      </c>
      <c r="F40" s="12">
        <v>45593</v>
      </c>
      <c r="G40" s="12">
        <v>45695</v>
      </c>
      <c r="H40"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3 months, 10 days</v>
      </c>
      <c r="I40" s="7">
        <f ca="1">IF(WorkHistory[[#This Row],[End_Date]]="",TODAY()-WorkHistory[[#This Row],[Start_Date]],WorkHistory[[#This Row],[End_Date]]-WorkHistory[[#This Row],[Start_Date]])</f>
        <v>102</v>
      </c>
      <c r="J40" s="8">
        <f ca="1">WorkHistory[[#This Row],[Duration_Days]]/7</f>
        <v>14.571428571428571</v>
      </c>
      <c r="K40" s="22">
        <f t="shared" si="0"/>
        <v>2024</v>
      </c>
    </row>
    <row r="41" spans="1:11" x14ac:dyDescent="0.35">
      <c r="A41" s="11" t="s">
        <v>62</v>
      </c>
      <c r="B41" s="11" t="s">
        <v>12</v>
      </c>
      <c r="C41" s="5" t="s">
        <v>67</v>
      </c>
      <c r="D41" s="11" t="s">
        <v>16</v>
      </c>
      <c r="E41" s="11" t="s">
        <v>14</v>
      </c>
      <c r="F41" s="12">
        <v>45698</v>
      </c>
      <c r="G41" s="15">
        <v>46066</v>
      </c>
      <c r="H41"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12 months, 3 days</v>
      </c>
      <c r="I41" s="7">
        <f ca="1">IF(WorkHistory[[#This Row],[End_Date]]="",TODAY()-WorkHistory[[#This Row],[Start_Date]],WorkHistory[[#This Row],[End_Date]]-WorkHistory[[#This Row],[Start_Date]])</f>
        <v>368</v>
      </c>
      <c r="J41" s="8">
        <f ca="1">WorkHistory[[#This Row],[Duration_Days]]/7</f>
        <v>52.571428571428569</v>
      </c>
      <c r="K41" s="22">
        <f t="shared" si="0"/>
        <v>2025</v>
      </c>
    </row>
    <row r="42" spans="1:11" x14ac:dyDescent="0.35">
      <c r="A42" s="21" t="s">
        <v>78</v>
      </c>
      <c r="B42" s="21" t="s">
        <v>68</v>
      </c>
      <c r="C42" s="21" t="s">
        <v>69</v>
      </c>
      <c r="D42" s="21" t="s">
        <v>74</v>
      </c>
      <c r="E42" s="21" t="s">
        <v>14</v>
      </c>
      <c r="F42" s="12">
        <v>44827</v>
      </c>
      <c r="G42" s="12">
        <v>45099</v>
      </c>
      <c r="H42"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8 months, 30 days</v>
      </c>
      <c r="I42" s="7">
        <f ca="1">IF(WorkHistory[[#This Row],[End_Date]]="",TODAY()-WorkHistory[[#This Row],[Start_Date]],WorkHistory[[#This Row],[End_Date]]-WorkHistory[[#This Row],[Start_Date]])</f>
        <v>272</v>
      </c>
      <c r="J42" s="24">
        <f ca="1">WorkHistory[[#This Row],[Duration_Days]]/7</f>
        <v>38.857142857142854</v>
      </c>
      <c r="K42" s="25">
        <f>YEAR(F42)</f>
        <v>2022</v>
      </c>
    </row>
    <row r="43" spans="1:11" x14ac:dyDescent="0.35">
      <c r="A43" s="21" t="s">
        <v>79</v>
      </c>
      <c r="B43" s="21" t="s">
        <v>70</v>
      </c>
      <c r="C43" s="21" t="s">
        <v>69</v>
      </c>
      <c r="D43" s="21" t="s">
        <v>75</v>
      </c>
      <c r="E43" s="21" t="s">
        <v>73</v>
      </c>
      <c r="F43" s="12">
        <v>39125</v>
      </c>
      <c r="G43" s="12">
        <v>40888</v>
      </c>
      <c r="H43"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57 months, 29 days</v>
      </c>
      <c r="I43" s="7">
        <f ca="1">IF(WorkHistory[[#This Row],[End_Date]]="",TODAY()-WorkHistory[[#This Row],[Start_Date]],WorkHistory[[#This Row],[End_Date]]-WorkHistory[[#This Row],[Start_Date]])</f>
        <v>1763</v>
      </c>
      <c r="J43" s="24">
        <f ca="1">WorkHistory[[#This Row],[Duration_Days]]/7</f>
        <v>251.85714285714286</v>
      </c>
      <c r="K43" s="25">
        <f>YEAR(F43)</f>
        <v>2007</v>
      </c>
    </row>
    <row r="44" spans="1:11" x14ac:dyDescent="0.35">
      <c r="A44" s="21" t="s">
        <v>80</v>
      </c>
      <c r="B44" s="21" t="s">
        <v>72</v>
      </c>
      <c r="C44" s="21" t="s">
        <v>69</v>
      </c>
      <c r="D44" s="21" t="s">
        <v>23</v>
      </c>
      <c r="E44" s="21" t="s">
        <v>14</v>
      </c>
      <c r="F44" s="12">
        <v>45230</v>
      </c>
      <c r="G44" s="12">
        <v>45579</v>
      </c>
      <c r="H44"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11 months, 13 days</v>
      </c>
      <c r="I44" s="7">
        <f ca="1">IF(WorkHistory[[#This Row],[End_Date]]="",TODAY()-WorkHistory[[#This Row],[Start_Date]],WorkHistory[[#This Row],[End_Date]]-WorkHistory[[#This Row],[Start_Date]])</f>
        <v>349</v>
      </c>
      <c r="J44" s="24">
        <f ca="1">WorkHistory[[#This Row],[Duration_Days]]/7</f>
        <v>49.857142857142854</v>
      </c>
      <c r="K44" s="25">
        <f>YEAR(F44)</f>
        <v>2023</v>
      </c>
    </row>
    <row r="45" spans="1:11" x14ac:dyDescent="0.35">
      <c r="A45" s="21" t="s">
        <v>81</v>
      </c>
      <c r="B45" s="21" t="s">
        <v>76</v>
      </c>
      <c r="C45" s="21" t="s">
        <v>69</v>
      </c>
      <c r="D45" s="21" t="s">
        <v>77</v>
      </c>
      <c r="E45" s="21" t="s">
        <v>73</v>
      </c>
      <c r="F45" s="12">
        <v>38515</v>
      </c>
      <c r="G45" s="12">
        <v>38918</v>
      </c>
      <c r="H45"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13 months, 8 days</v>
      </c>
      <c r="I45" s="7">
        <f ca="1">IF(WorkHistory[[#This Row],[End_Date]]="",TODAY()-WorkHistory[[#This Row],[Start_Date]],WorkHistory[[#This Row],[End_Date]]-WorkHistory[[#This Row],[Start_Date]])</f>
        <v>403</v>
      </c>
      <c r="J45" s="24">
        <f ca="1">WorkHistory[[#This Row],[Duration_Days]]/7</f>
        <v>57.571428571428569</v>
      </c>
      <c r="K45" s="25">
        <f>YEAR(F45)</f>
        <v>2005</v>
      </c>
    </row>
    <row r="46" spans="1:11" x14ac:dyDescent="0.35">
      <c r="A46" s="21" t="s">
        <v>83</v>
      </c>
      <c r="B46" s="21" t="s">
        <v>82</v>
      </c>
      <c r="C46" s="21" t="s">
        <v>69</v>
      </c>
      <c r="D46" s="21" t="s">
        <v>17</v>
      </c>
      <c r="E46" s="21" t="s">
        <v>14</v>
      </c>
      <c r="F46" s="12">
        <v>44263</v>
      </c>
      <c r="G46" s="12">
        <v>44431</v>
      </c>
      <c r="H46" s="7" t="str">
        <f ca="1">IF(WorkHistory[[#This Row],[End_Date]]="",
DATEDIF(WorkHistory[[#This Row],[Start_Date]], TODAY(), "m") &amp; " months, " &amp; DATEDIF(WorkHistory[[#This Row],[Start_Date]], TODAY(), "md") &amp; " days",
DATEDIF(WorkHistory[[#This Row],[Start_Date]], WorkHistory[[#This Row],[End_Date]], "m") &amp; " months, " &amp; DATEDIF(WorkHistory[[#This Row],[Start_Date]], WorkHistory[[#This Row],[End_Date]], "md") &amp; " days")</f>
        <v>5 months, 15 days</v>
      </c>
      <c r="I46" s="7">
        <f ca="1">IF(WorkHistory[[#This Row],[End_Date]]="",TODAY()-WorkHistory[[#This Row],[Start_Date]],WorkHistory[[#This Row],[End_Date]]-WorkHistory[[#This Row],[Start_Date]])</f>
        <v>168</v>
      </c>
      <c r="J46" s="24">
        <f ca="1">WorkHistory[[#This Row],[Duration_Days]]/7</f>
        <v>24</v>
      </c>
      <c r="K46" s="25">
        <f>YEAR(F46)</f>
        <v>2021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4BB0F-8835-42F9-B87D-E0560DF1FE3C}">
  <dimension ref="A1:C4"/>
  <sheetViews>
    <sheetView tabSelected="1" workbookViewId="0">
      <selection activeCell="K12" sqref="K12"/>
    </sheetView>
  </sheetViews>
  <sheetFormatPr defaultRowHeight="14.5" x14ac:dyDescent="0.35"/>
  <cols>
    <col min="1" max="1" width="12.36328125" bestFit="1" customWidth="1"/>
    <col min="2" max="2" width="19.7265625" bestFit="1" customWidth="1"/>
    <col min="3" max="3" width="20.26953125" bestFit="1" customWidth="1"/>
  </cols>
  <sheetData>
    <row r="1" spans="1:3" x14ac:dyDescent="0.35">
      <c r="A1" s="20" t="s">
        <v>58</v>
      </c>
      <c r="B1" t="s">
        <v>60</v>
      </c>
      <c r="C1" t="s">
        <v>84</v>
      </c>
    </row>
    <row r="2" spans="1:3" x14ac:dyDescent="0.35">
      <c r="A2" s="10" t="s">
        <v>69</v>
      </c>
      <c r="B2" s="17">
        <v>2955</v>
      </c>
      <c r="C2" s="13">
        <v>8.0958904109589049</v>
      </c>
    </row>
    <row r="3" spans="1:3" x14ac:dyDescent="0.35">
      <c r="A3" s="10" t="s">
        <v>67</v>
      </c>
      <c r="B3" s="17">
        <v>2851</v>
      </c>
      <c r="C3" s="13">
        <v>7.8109589041095893</v>
      </c>
    </row>
    <row r="4" spans="1:3" x14ac:dyDescent="0.35">
      <c r="A4" s="10" t="s">
        <v>59</v>
      </c>
      <c r="B4" s="17">
        <v>5806</v>
      </c>
      <c r="C4" s="13">
        <v>15.906849315068493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Education_Roles</vt:lpstr>
      <vt:lpstr>Summary</vt:lpstr>
      <vt:lpstr>Pivot_Country_Role_Breakdown</vt:lpstr>
      <vt:lpstr>Pivot_Summary</vt:lpstr>
      <vt:lpstr>Work_Clean</vt:lpstr>
      <vt:lpstr>Work_Summary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Tramaine Stovell</dc:creator>
  <cp:lastModifiedBy>Tramaine Stovell</cp:lastModifiedBy>
  <dcterms:created xsi:type="dcterms:W3CDTF">2026-02-22T20:22:46Z</dcterms:created>
  <dcterms:modified xsi:type="dcterms:W3CDTF">2026-04-10T15:01:06Z</dcterms:modified>
</cp:coreProperties>
</file>