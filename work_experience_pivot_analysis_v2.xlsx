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trama\Documents\Excel Portfolio\README Notes.txt\First GitHub Excel Update\"/>
    </mc:Choice>
  </mc:AlternateContent>
  <xr:revisionPtr revIDLastSave="0" documentId="8_{8F29383A-8959-49E6-BE56-00FEA4F46425}" xr6:coauthVersionLast="47" xr6:coauthVersionMax="47" xr10:uidLastSave="{00000000-0000-0000-0000-000000000000}"/>
  <bookViews>
    <workbookView xWindow="-110" yWindow="-110" windowWidth="19420" windowHeight="11020" xr2:uid="{F05874AC-9B87-4F34-BECA-2CA4BA4D23C4}"/>
  </bookViews>
  <sheets>
    <sheet name="Work_Summary" sheetId="2" r:id="rId1"/>
    <sheet name="Work_Clean" sheetId="1" r:id="rId2"/>
  </sheets>
  <definedNames>
    <definedName name="Slicer_Role_Category">#N/A</definedName>
  </definedNames>
  <calcPr calcId="191029"/>
  <pivotCaches>
    <pivotCache cacheId="36"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6" i="1" l="1"/>
  <c r="I46" i="1"/>
  <c r="J46" i="1" s="1"/>
  <c r="H46" i="1"/>
  <c r="K45" i="1"/>
  <c r="I45" i="1"/>
  <c r="J45" i="1" s="1"/>
  <c r="H45" i="1"/>
  <c r="K44" i="1"/>
  <c r="I44" i="1"/>
  <c r="J44" i="1" s="1"/>
  <c r="H44" i="1"/>
  <c r="K43" i="1"/>
  <c r="I43" i="1"/>
  <c r="J43" i="1" s="1"/>
  <c r="H43" i="1"/>
  <c r="K42" i="1"/>
  <c r="I42" i="1"/>
  <c r="J42" i="1" s="1"/>
  <c r="H42" i="1"/>
  <c r="K41" i="1"/>
  <c r="I41" i="1"/>
  <c r="J41" i="1" s="1"/>
  <c r="H41" i="1"/>
  <c r="K40" i="1"/>
  <c r="I40" i="1"/>
  <c r="J40" i="1" s="1"/>
  <c r="H40" i="1"/>
  <c r="K39" i="1"/>
  <c r="I39" i="1"/>
  <c r="J39" i="1" s="1"/>
  <c r="H39" i="1"/>
  <c r="K38" i="1"/>
  <c r="I38" i="1"/>
  <c r="J38" i="1" s="1"/>
  <c r="H38" i="1"/>
  <c r="K37" i="1"/>
  <c r="I37" i="1"/>
  <c r="J37" i="1" s="1"/>
  <c r="H37" i="1"/>
  <c r="K36" i="1"/>
  <c r="I36" i="1"/>
  <c r="J36" i="1" s="1"/>
  <c r="H36" i="1"/>
  <c r="K35" i="1"/>
  <c r="I35" i="1"/>
  <c r="J35" i="1" s="1"/>
  <c r="H35" i="1"/>
  <c r="K34" i="1"/>
  <c r="I34" i="1"/>
  <c r="J34" i="1" s="1"/>
  <c r="H34" i="1"/>
  <c r="K33" i="1"/>
  <c r="I33" i="1"/>
  <c r="J33" i="1" s="1"/>
  <c r="H33" i="1"/>
  <c r="K32" i="1"/>
  <c r="I32" i="1"/>
  <c r="J32" i="1" s="1"/>
  <c r="H32" i="1"/>
  <c r="K31" i="1"/>
  <c r="I31" i="1"/>
  <c r="J31" i="1" s="1"/>
  <c r="H31" i="1"/>
  <c r="K30" i="1"/>
  <c r="I30" i="1"/>
  <c r="J30" i="1" s="1"/>
  <c r="H30" i="1"/>
  <c r="K29" i="1"/>
  <c r="I29" i="1"/>
  <c r="J29" i="1" s="1"/>
  <c r="H29" i="1"/>
  <c r="K28" i="1"/>
  <c r="I28" i="1"/>
  <c r="J28" i="1" s="1"/>
  <c r="H28" i="1"/>
  <c r="K27" i="1"/>
  <c r="I27" i="1"/>
  <c r="J27" i="1" s="1"/>
  <c r="H27" i="1"/>
  <c r="K26" i="1"/>
  <c r="I26" i="1"/>
  <c r="J26" i="1" s="1"/>
  <c r="H26" i="1"/>
  <c r="K25" i="1"/>
  <c r="I25" i="1"/>
  <c r="J25" i="1" s="1"/>
  <c r="H25" i="1"/>
  <c r="K24" i="1"/>
  <c r="I24" i="1"/>
  <c r="J24" i="1" s="1"/>
  <c r="H24" i="1"/>
  <c r="K23" i="1"/>
  <c r="I23" i="1"/>
  <c r="J23" i="1" s="1"/>
  <c r="H23" i="1"/>
  <c r="K22" i="1"/>
  <c r="I22" i="1"/>
  <c r="J22" i="1" s="1"/>
  <c r="H22" i="1"/>
  <c r="K21" i="1"/>
  <c r="I21" i="1"/>
  <c r="J21" i="1" s="1"/>
  <c r="H21" i="1"/>
  <c r="K20" i="1"/>
  <c r="I20" i="1"/>
  <c r="J20" i="1" s="1"/>
  <c r="H20" i="1"/>
  <c r="K19" i="1"/>
  <c r="I19" i="1"/>
  <c r="J19" i="1" s="1"/>
  <c r="H19" i="1"/>
  <c r="K18" i="1"/>
  <c r="I18" i="1"/>
  <c r="J18" i="1" s="1"/>
  <c r="H18" i="1"/>
  <c r="K17" i="1"/>
  <c r="I17" i="1"/>
  <c r="J17" i="1" s="1"/>
  <c r="H17" i="1"/>
  <c r="K16" i="1"/>
  <c r="I16" i="1"/>
  <c r="J16" i="1" s="1"/>
  <c r="H16" i="1"/>
  <c r="K15" i="1"/>
  <c r="I15" i="1"/>
  <c r="J15" i="1" s="1"/>
  <c r="H15" i="1"/>
  <c r="K14" i="1"/>
  <c r="I14" i="1"/>
  <c r="J14" i="1" s="1"/>
  <c r="H14" i="1"/>
  <c r="K13" i="1"/>
  <c r="I13" i="1"/>
  <c r="J13" i="1" s="1"/>
  <c r="H13" i="1"/>
  <c r="K12" i="1"/>
  <c r="I12" i="1"/>
  <c r="J12" i="1" s="1"/>
  <c r="H12" i="1"/>
  <c r="K11" i="1"/>
  <c r="I11" i="1"/>
  <c r="J11" i="1" s="1"/>
  <c r="H11" i="1"/>
  <c r="K10" i="1"/>
  <c r="I10" i="1"/>
  <c r="J10" i="1" s="1"/>
  <c r="H10" i="1"/>
  <c r="K9" i="1"/>
  <c r="I9" i="1"/>
  <c r="J9" i="1" s="1"/>
  <c r="H9" i="1"/>
  <c r="K8" i="1"/>
  <c r="I8" i="1"/>
  <c r="J8" i="1" s="1"/>
  <c r="H8" i="1"/>
  <c r="K7" i="1"/>
  <c r="I7" i="1"/>
  <c r="J7" i="1" s="1"/>
  <c r="H7" i="1"/>
  <c r="K6" i="1"/>
  <c r="I6" i="1"/>
  <c r="J6" i="1" s="1"/>
  <c r="H6" i="1"/>
  <c r="K5" i="1"/>
  <c r="I5" i="1"/>
  <c r="J5" i="1" s="1"/>
  <c r="H5" i="1"/>
  <c r="K4" i="1"/>
  <c r="I4" i="1"/>
  <c r="J4" i="1" s="1"/>
  <c r="H4" i="1"/>
  <c r="K3" i="1"/>
  <c r="I3" i="1"/>
  <c r="J3" i="1" s="1"/>
  <c r="H3" i="1"/>
  <c r="K2" i="1"/>
  <c r="I2" i="1"/>
  <c r="J2" i="1" s="1"/>
  <c r="H2" i="1"/>
</calcChain>
</file>

<file path=xl/sharedStrings.xml><?xml version="1.0" encoding="utf-8"?>
<sst xmlns="http://schemas.openxmlformats.org/spreadsheetml/2006/main" count="242" uniqueCount="72">
  <si>
    <t>Organisation</t>
  </si>
  <si>
    <t>Role</t>
  </si>
  <si>
    <t>Role_Category</t>
  </si>
  <si>
    <t>City</t>
  </si>
  <si>
    <t>Country</t>
  </si>
  <si>
    <t>Start_Date</t>
  </si>
  <si>
    <t>End_Date</t>
  </si>
  <si>
    <t>Duration_Months_Days</t>
  </si>
  <si>
    <t>Duration_Days</t>
  </si>
  <si>
    <t>Duration_Weeks</t>
  </si>
  <si>
    <t>Year_Started</t>
  </si>
  <si>
    <t>School_A (Primary)</t>
  </si>
  <si>
    <t>Teacher</t>
  </si>
  <si>
    <t>Education</t>
  </si>
  <si>
    <t>City_A</t>
  </si>
  <si>
    <t>Honduras</t>
  </si>
  <si>
    <t>School_B (Secondary)</t>
  </si>
  <si>
    <t>Teaching Assistant</t>
  </si>
  <si>
    <t>City_B</t>
  </si>
  <si>
    <t>England</t>
  </si>
  <si>
    <t>School_C (Secondary)</t>
  </si>
  <si>
    <t>City_C</t>
  </si>
  <si>
    <t>School_D (Secondary)</t>
  </si>
  <si>
    <t>City_D</t>
  </si>
  <si>
    <t>School_E (Secondary)</t>
  </si>
  <si>
    <t>City_E</t>
  </si>
  <si>
    <t>School_F (Nursery)</t>
  </si>
  <si>
    <t>City_F</t>
  </si>
  <si>
    <t>School_G (Primary)</t>
  </si>
  <si>
    <t>City_G</t>
  </si>
  <si>
    <t>School_H (Primary)</t>
  </si>
  <si>
    <t>School_I (Primary)</t>
  </si>
  <si>
    <t>City_H</t>
  </si>
  <si>
    <t>School_J (Primary)</t>
  </si>
  <si>
    <t>School_K (Nursery)</t>
  </si>
  <si>
    <t>School_L (Primary)</t>
  </si>
  <si>
    <t>School_M (Nursery)</t>
  </si>
  <si>
    <t>School_N (Nursery)</t>
  </si>
  <si>
    <t>City_I</t>
  </si>
  <si>
    <t>School_O (Nursery)</t>
  </si>
  <si>
    <t>School_P (Primary)</t>
  </si>
  <si>
    <t xml:space="preserve">School_Q (Secondary) </t>
  </si>
  <si>
    <t>School_R (Primary)</t>
  </si>
  <si>
    <t>School_S (Primary)</t>
  </si>
  <si>
    <t>School_T (Primary)</t>
  </si>
  <si>
    <t>School_U (Nursery)</t>
  </si>
  <si>
    <t>School_V (Secondary)</t>
  </si>
  <si>
    <t>School_W (Adult)</t>
  </si>
  <si>
    <t>City_J</t>
  </si>
  <si>
    <t>Online</t>
  </si>
  <si>
    <t>School_X (Primary)</t>
  </si>
  <si>
    <t>City_K</t>
  </si>
  <si>
    <t>School_Y (Primary)</t>
  </si>
  <si>
    <t>Warehouse_A</t>
  </si>
  <si>
    <t>Warehous Operative</t>
  </si>
  <si>
    <t>Admin</t>
  </si>
  <si>
    <t>City_L</t>
  </si>
  <si>
    <t>Hotel_A</t>
  </si>
  <si>
    <t>Admin Assistant</t>
  </si>
  <si>
    <t>City_M</t>
  </si>
  <si>
    <t>Bermuda</t>
  </si>
  <si>
    <t>Data_A</t>
  </si>
  <si>
    <t>Market Researcher</t>
  </si>
  <si>
    <t>Museum_A</t>
  </si>
  <si>
    <t>Museum Operative</t>
  </si>
  <si>
    <t>City_N</t>
  </si>
  <si>
    <t>Call_Center_A</t>
  </si>
  <si>
    <t>Payroll Administrator</t>
  </si>
  <si>
    <t>Row Labels</t>
  </si>
  <si>
    <t>Sum of Duration_Days</t>
  </si>
  <si>
    <t>Sum of Duration_Years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</si>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</sst>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d\-mmm\-yy"/>
    <numFmt numFmtId="165" formatCode="[$-409]d\-mmm\-yyyy;@"/>
    <numFmt numFmtId="166" formatCode="0.0"/>
  </numFmts>
  <fonts count="5" x14ac:knownFonts="1">
    <font>
      <sz val="11"/>
      <color theme="1"/>
      <name val="Calibri"/>
      <family val="2"/>
      <scheme val="minor"/>
    </font>
    <font>
      <sz val="11"/>
      <color theme="1"/>
      <name val="Calibri"/>
      <family val="2"/>
      <scheme val="minor"/>
    </font>
    <font>
      <b/>
      <sz val="12"/>
      <color theme="1"/>
      <name val="Calibri"/>
      <family val="2"/>
    </font>
    <font>
      <sz val="12"/>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16">
    <xf numFmtId="0" fontId="0" fillId="0" borderId="0" xfId="0"/>
    <xf numFmtId="0" fontId="2" fillId="0" borderId="1" xfId="0" applyFont="1" applyBorder="1" applyAlignment="1">
      <alignment horizontal="left" vertical="top"/>
    </xf>
    <xf numFmtId="164" fontId="2" fillId="0" borderId="1" xfId="0" applyNumberFormat="1" applyFont="1" applyBorder="1" applyAlignment="1">
      <alignment horizontal="left" vertical="top"/>
    </xf>
    <xf numFmtId="1" fontId="2" fillId="0" borderId="1" xfId="0" applyNumberFormat="1" applyFont="1" applyBorder="1" applyAlignment="1">
      <alignment horizontal="left" vertical="top"/>
    </xf>
    <xf numFmtId="0" fontId="3" fillId="0" borderId="2" xfId="0" applyFont="1" applyBorder="1" applyAlignment="1">
      <alignment horizontal="left" vertical="top"/>
    </xf>
    <xf numFmtId="0" fontId="4" fillId="0" borderId="0" xfId="0" applyFont="1" applyAlignment="1">
      <alignment horizontal="left" vertical="top"/>
    </xf>
    <xf numFmtId="165" fontId="4" fillId="0" borderId="0" xfId="0" applyNumberFormat="1" applyFont="1" applyAlignment="1">
      <alignment horizontal="right" vertical="top"/>
    </xf>
    <xf numFmtId="1" fontId="4" fillId="0" borderId="0" xfId="0" applyNumberFormat="1" applyFont="1"/>
    <xf numFmtId="166" fontId="1" fillId="0" borderId="0" xfId="0" applyNumberFormat="1" applyFont="1"/>
    <xf numFmtId="0" fontId="4" fillId="0" borderId="0" xfId="0" applyFont="1"/>
    <xf numFmtId="0" fontId="1" fillId="0" borderId="0" xfId="0" applyFont="1"/>
    <xf numFmtId="165" fontId="4" fillId="0" borderId="0" xfId="0" applyNumberFormat="1" applyFont="1"/>
    <xf numFmtId="166" fontId="0" fillId="0" borderId="0" xfId="0" applyNumberFormat="1"/>
    <xf numFmtId="165" fontId="1" fillId="0" borderId="0" xfId="0" applyNumberFormat="1" applyFont="1"/>
    <xf numFmtId="0" fontId="0" fillId="0" borderId="0" xfId="0" applyAlignment="1">
      <alignment horizontal="left"/>
    </xf>
    <xf numFmtId="1" fontId="0" fillId="0" borderId="0" xfId="0" applyNumberFormat="1"/>
  </cellXfs>
  <cellStyles count="1">
    <cellStyle name="Normal" xfId="0" builtinId="0"/>
  </cellStyles>
  <dxfs count="15">
    <dxf>
      <font>
        <b val="0"/>
        <i val="0"/>
        <strike val="0"/>
        <condense val="0"/>
        <extend val="0"/>
        <outline val="0"/>
        <shadow val="0"/>
        <u val="none"/>
        <vertAlign val="baseline"/>
        <sz val="11"/>
        <color theme="1"/>
        <name val="Calibri"/>
        <scheme val="none"/>
      </font>
      <numFmt numFmtId="0" formatCode="General"/>
    </dxf>
    <dxf>
      <font>
        <b val="0"/>
        <i val="0"/>
        <strike val="0"/>
        <condense val="0"/>
        <extend val="0"/>
        <outline val="0"/>
        <shadow val="0"/>
        <u val="none"/>
        <vertAlign val="baseline"/>
        <sz val="11"/>
        <color theme="1"/>
        <name val="Calibri"/>
        <scheme val="minor"/>
      </font>
      <numFmt numFmtId="166" formatCode="0.0"/>
    </dxf>
    <dxf>
      <font>
        <b val="0"/>
        <i val="0"/>
        <strike val="0"/>
        <condense val="0"/>
        <extend val="0"/>
        <outline val="0"/>
        <shadow val="0"/>
        <u val="none"/>
        <vertAlign val="baseline"/>
        <sz val="11"/>
        <color theme="1"/>
        <name val="Calibri"/>
        <scheme val="none"/>
      </font>
      <numFmt numFmtId="1" formatCode="0"/>
    </dxf>
    <dxf>
      <font>
        <b val="0"/>
        <i val="0"/>
        <strike val="0"/>
        <condense val="0"/>
        <extend val="0"/>
        <outline val="0"/>
        <shadow val="0"/>
        <u val="none"/>
        <vertAlign val="baseline"/>
        <sz val="11"/>
        <color theme="1"/>
        <name val="Calibri"/>
        <scheme val="none"/>
      </font>
      <numFmt numFmtId="1" formatCode="0"/>
    </dxf>
    <dxf>
      <font>
        <b val="0"/>
        <i val="0"/>
        <strike val="0"/>
        <condense val="0"/>
        <extend val="0"/>
        <outline val="0"/>
        <shadow val="0"/>
        <u val="none"/>
        <vertAlign val="baseline"/>
        <sz val="11"/>
        <color theme="1"/>
        <name val="Calibri"/>
        <scheme val="none"/>
      </font>
      <numFmt numFmtId="165" formatCode="[$-409]d\-mmm\-yyyy;@"/>
    </dxf>
    <dxf>
      <font>
        <b val="0"/>
        <i val="0"/>
        <strike val="0"/>
        <condense val="0"/>
        <extend val="0"/>
        <outline val="0"/>
        <shadow val="0"/>
        <u val="none"/>
        <vertAlign val="baseline"/>
        <sz val="11"/>
        <color theme="1"/>
        <name val="Calibri"/>
        <scheme val="none"/>
      </font>
      <numFmt numFmtId="165" formatCode="[$-409]d\-mmm\-yyyy;@"/>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border outline="0">
        <bottom style="thin">
          <color rgb="FF000000"/>
        </bottom>
      </border>
    </dxf>
    <dxf>
      <border outline="0">
        <top style="thin">
          <color rgb="FF000000"/>
        </top>
      </border>
    </dxf>
    <dxf>
      <font>
        <b val="0"/>
        <i val="0"/>
        <strike val="0"/>
        <condense val="0"/>
        <extend val="0"/>
        <outline val="0"/>
        <shadow val="0"/>
        <u val="none"/>
        <vertAlign val="baseline"/>
        <sz val="11"/>
        <color theme="1"/>
        <name val="Calibri"/>
        <scheme val="none"/>
      </font>
    </dxf>
    <dxf>
      <font>
        <strike val="0"/>
        <outline val="0"/>
        <shadow val="0"/>
        <u val="none"/>
        <vertAlign val="baseline"/>
        <sz val="12"/>
        <color theme="1"/>
        <name val="Calibri"/>
        <scheme val="none"/>
      </font>
      <alignment horizontal="left"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[work_experience_pivot_analysis.xlsx]Work_Summary!PivotTable6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Work Experience by Role Category (Days)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Work_Summary!$B$1</c:f>
              <c:strCache>
                <c:ptCount val="1"/>
                <c:pt idx="0">
                  <c:v>Sum of Duration_Days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Work_Summary!$A$2:$A$4</c:f>
              <c:strCache>
                <c:ptCount val="2"/>
                <c:pt idx="0">
                  <c:v>Admin</c:v>
                </c:pt>
                <c:pt idx="1">
                  <c:v>Education</c:v>
                </c:pt>
              </c:strCache>
            </c:strRef>
          </c:cat>
          <c:val>
            <c:numRef>
              <c:f>Work_Summary!$B$2:$B$4</c:f>
              <c:numCache>
                <c:formatCode>0</c:formatCode>
                <c:ptCount val="2"/>
                <c:pt idx="0">
                  <c:v>2955</c:v>
                </c:pt>
                <c:pt idx="1">
                  <c:v>2851</c:v>
                </c:pt>
              </c:numCache>
            </c:numRef>
          </c:val>
          <c:extLst>
            <c:ext xmlns:c16="http://schemas.microsoft.com/office/drawing/2014/chart" uri="{C3380CC4-5D6E-409C-BE32-E72D297353CC}">
              <c16:uniqueId val="{00000000-3C08-44F6-8B24-968A51027F10}"/>
            </c:ext>
          </c:extLst>
        </c:ser>
        <c:ser>
          <c:idx val="1"/>
          <c:order val="1"/>
          <c:tx>
            <c:strRef>
              <c:f>Work_Summary!$C$1</c:f>
              <c:strCache>
                <c:ptCount val="1"/>
                <c:pt idx="0">
                  <c:v>Sum of Duration_Years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Work_Summary!$A$2:$A$4</c:f>
              <c:strCache>
                <c:ptCount val="2"/>
                <c:pt idx="0">
                  <c:v>Admin</c:v>
                </c:pt>
                <c:pt idx="1">
                  <c:v>Education</c:v>
                </c:pt>
              </c:strCache>
            </c:strRef>
          </c:cat>
          <c:val>
            <c:numRef>
              <c:f>Work_Summary!$C$2:$C$4</c:f>
              <c:numCache>
                <c:formatCode>0.0</c:formatCode>
                <c:ptCount val="2"/>
                <c:pt idx="0">
                  <c:v>8.0958904109589049</c:v>
                </c:pt>
                <c:pt idx="1">
                  <c:v>7.8109589041095893</c:v>
                </c:pt>
              </c:numCache>
            </c:numRef>
          </c:val>
          <c:extLst>
            <c:ext xmlns:c16="http://schemas.microsoft.com/office/drawing/2014/chart" uri="{C3380CC4-5D6E-409C-BE32-E72D297353CC}">
              <c16:uniqueId val="{00000001-3C08-44F6-8B24-968A51027F10}"/>
            </c:ext>
          </c:extLst>
        </c:ser>
        <c:dLbls>
          <c:dLblPos val="outEnd"/>
          <c:showLegendKey val="0"/>
          <c:showVal val="1"/>
          <c:showCatName val="0"/>
          <c:showSerName val="0"/>
          <c:showPercent val="0"/>
          <c:showBubbleSize val="0"/>
        </c:dLbls>
        <c:gapWidth val="219"/>
        <c:overlap val="-27"/>
        <c:axId val="1142942688"/>
        <c:axId val="1142944128"/>
      </c:barChart>
      <c:catAx>
        <c:axId val="114294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944128"/>
        <c:crosses val="autoZero"/>
        <c:auto val="1"/>
        <c:lblAlgn val="ctr"/>
        <c:lblOffset val="100"/>
        <c:noMultiLvlLbl val="0"/>
      </c:catAx>
      <c:valAx>
        <c:axId val="11429441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942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6350</xdr:colOff>
      <xdr:row>5</xdr:row>
      <xdr:rowOff>44450</xdr:rowOff>
    </xdr:from>
    <xdr:to>
      <xdr:col>4</xdr:col>
      <xdr:colOff>0</xdr:colOff>
      <xdr:row>17</xdr:row>
      <xdr:rowOff>165100</xdr:rowOff>
    </xdr:to>
    <xdr:graphicFrame macro="">
      <xdr:nvGraphicFramePr>
        <xdr:cNvPr id="2" name="Chart 1">
          <a:extLst>
            <a:ext uri="{FF2B5EF4-FFF2-40B4-BE49-F238E27FC236}">
              <a16:creationId xmlns:a16="http://schemas.microsoft.com/office/drawing/2014/main" id="{395B0A2F-1B1A-4CE0-A6C6-2CB711AF0A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12700</xdr:colOff>
      <xdr:row>5</xdr:row>
      <xdr:rowOff>12700</xdr:rowOff>
    </xdr:from>
    <xdr:to>
      <xdr:col>8</xdr:col>
      <xdr:colOff>12700</xdr:colOff>
      <xdr:row>18</xdr:row>
      <xdr:rowOff>142875</xdr:rowOff>
    </xdr:to>
    <mc:AlternateContent xmlns:mc="http://schemas.openxmlformats.org/markup-compatibility/2006">
      <mc:Choice xmlns:a14="http://schemas.microsoft.com/office/drawing/2010/main" Requires="a14">
        <xdr:graphicFrame macro="">
          <xdr:nvGraphicFramePr>
            <xdr:cNvPr id="3" name="Role_Category">
              <a:extLst>
                <a:ext uri="{FF2B5EF4-FFF2-40B4-BE49-F238E27FC236}">
                  <a16:creationId xmlns:a16="http://schemas.microsoft.com/office/drawing/2014/main" id="{3101A462-FA4D-4221-A20A-AFF5091B62F9}"/>
                </a:ext>
              </a:extLst>
            </xdr:cNvPr>
            <xdr:cNvGraphicFramePr/>
          </xdr:nvGraphicFramePr>
          <xdr:xfrm>
            <a:off x="0" y="0"/>
            <a:ext cx="0" cy="0"/>
          </xdr:xfrm>
          <a:graphic>
            <a:graphicData uri="http://schemas.microsoft.com/office/drawing/2010/slicer">
              <sle:slicer xmlns:sle="http://schemas.microsoft.com/office/drawing/2010/slicer" name="Role_Category"/>
            </a:graphicData>
          </a:graphic>
        </xdr:graphicFrame>
      </mc:Choice>
      <mc:Fallback>
        <xdr:sp macro="" textlink="">
          <xdr:nvSpPr>
            <xdr:cNvPr id="0" name=""/>
            <xdr:cNvSpPr>
              <a:spLocks noTextEdit="1"/>
            </xdr:cNvSpPr>
          </xdr:nvSpPr>
          <xdr:spPr>
            <a:xfrm>
              <a:off x="4889500" y="93345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trama/Documents/Excel%20Portfolio/README%20Notes.txt/excel-education-roles-analysis/education_roles_analysis.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amaine Stovell" refreshedDate="46122.529668055555" createdVersion="8" refreshedVersion="8" minRefreshableVersion="3" recordCount="45" xr:uid="{2BC83EE4-A16E-45CC-9149-20187B8CA212}">
  <cacheSource type="worksheet">
    <worksheetSource name="WorkHistory" r:id="rId2"/>
  </cacheSource>
  <cacheFields count="12">
    <cacheField name="Organisation" numFmtId="0">
      <sharedItems/>
    </cacheField>
    <cacheField name="Role" numFmtId="0">
      <sharedItems/>
    </cacheField>
    <cacheField name="Role_Category" numFmtId="0">
      <sharedItems count="2">
        <s v="Education"/>
        <s v="Admin"/>
      </sharedItems>
    </cacheField>
    <cacheField name="City" numFmtId="0">
      <sharedItems/>
    </cacheField>
    <cacheField name="Country" numFmtId="0">
      <sharedItems/>
    </cacheField>
    <cacheField name="Start_Date" numFmtId="165">
      <sharedItems containsSemiMixedTypes="0" containsNonDate="0" containsDate="1" containsString="0" minDate="2005-06-12T00:00:00" maxDate="2025-02-11T00:00:00"/>
    </cacheField>
    <cacheField name="End_Date" numFmtId="165">
      <sharedItems containsSemiMixedTypes="0" containsNonDate="0" containsDate="1" containsString="0" minDate="2006-07-20T00:00:00" maxDate="2026-02-14T00:00:00"/>
    </cacheField>
    <cacheField name="Duration_Months_Days" numFmtId="1">
      <sharedItems/>
    </cacheField>
    <cacheField name="Duration_Days" numFmtId="1">
      <sharedItems containsSemiMixedTypes="0" containsString="0" containsNumber="1" containsInteger="1" minValue="0" maxValue="1944"/>
    </cacheField>
    <cacheField name="Duration_Weeks" numFmtId="166">
      <sharedItems containsSemiMixedTypes="0" containsString="0" containsNumber="1" minValue="0" maxValue="277.71428571428572"/>
    </cacheField>
    <cacheField name="Year_Started" numFmtId="0">
      <sharedItems containsSemiMixedTypes="0" containsString="0" containsNumber="1" containsInteger="1" minValue="2005" maxValue="2025"/>
    </cacheField>
    <cacheField name="Duration_Years" numFmtId="0" formula="Duration_Days/365" databaseField="0"/>
  </cacheFields>
  <extLst>
    <ext xmlns:x14="http://schemas.microsoft.com/office/spreadsheetml/2009/9/main" uri="{725AE2AE-9491-48be-B2B4-4EB974FC3084}">
      <x14:pivotCacheDefinition pivotCacheId="15591981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
  <r>
    <s v="School_A (Primary)"/>
    <s v="Teacher"/>
    <x v="0"/>
    <s v="City_A"/>
    <s v="Honduras"/>
    <d v="2013-08-20T00:00:00"/>
    <d v="2018-12-16T00:00:00"/>
    <s v="63 months, 26 days"/>
    <n v="1944"/>
    <n v="277.71428571428572"/>
    <n v="2013"/>
  </r>
  <r>
    <s v="School_B (Secondary)"/>
    <s v="Teaching Assistant"/>
    <x v="0"/>
    <s v="City_B"/>
    <s v="England"/>
    <d v="2021-09-13T00:00:00"/>
    <d v="2021-11-19T00:00:00"/>
    <s v="2 months, 6 days"/>
    <n v="67"/>
    <n v="9.5714285714285712"/>
    <n v="2021"/>
  </r>
  <r>
    <s v="School_C (Secondary)"/>
    <s v="Teaching Assistant"/>
    <x v="0"/>
    <s v="City_C"/>
    <s v="England"/>
    <d v="2021-11-22T00:00:00"/>
    <d v="2022-01-28T00:00:00"/>
    <s v="2 months, 6 days"/>
    <n v="67"/>
    <n v="9.5714285714285712"/>
    <n v="2021"/>
  </r>
  <r>
    <s v="School_D (Secondary)"/>
    <s v="Teaching Assistant"/>
    <x v="0"/>
    <s v="City_D"/>
    <s v="England"/>
    <d v="2022-02-01T00:00:00"/>
    <d v="2022-02-08T00:00:00"/>
    <s v="0 months, 7 days"/>
    <n v="7"/>
    <n v="1"/>
    <n v="2022"/>
  </r>
  <r>
    <s v="School_E (Secondary)"/>
    <s v="Teaching Assistant"/>
    <x v="0"/>
    <s v="City_E"/>
    <s v="England"/>
    <d v="2022-02-21T00:00:00"/>
    <d v="2022-02-25T00:00:00"/>
    <s v="0 months, 4 days"/>
    <n v="4"/>
    <n v="0.5714285714285714"/>
    <n v="2022"/>
  </r>
  <r>
    <s v="School_F (Nursery)"/>
    <s v="Teaching Assistant"/>
    <x v="0"/>
    <s v="City_F"/>
    <s v="England"/>
    <d v="2022-02-28T00:00:00"/>
    <d v="2022-02-28T00:00:00"/>
    <s v="0 months, 0 days"/>
    <n v="0"/>
    <n v="0"/>
    <n v="2022"/>
  </r>
  <r>
    <s v="School_G (Primary)"/>
    <s v="Teaching Assistant"/>
    <x v="0"/>
    <s v="City_G"/>
    <s v="England"/>
    <d v="2022-03-01T00:00:00"/>
    <d v="2022-03-04T00:00:00"/>
    <s v="0 months, 3 days"/>
    <n v="3"/>
    <n v="0.42857142857142855"/>
    <n v="2022"/>
  </r>
  <r>
    <s v="School_H (Primary)"/>
    <s v="Teaching Assistant"/>
    <x v="0"/>
    <s v="City_D"/>
    <s v="England"/>
    <d v="2022-03-07T00:00:00"/>
    <d v="2022-03-11T00:00:00"/>
    <s v="0 months, 4 days"/>
    <n v="4"/>
    <n v="0.5714285714285714"/>
    <n v="2022"/>
  </r>
  <r>
    <s v="School_G (Primary)"/>
    <s v="Teaching Assistant"/>
    <x v="0"/>
    <s v="City_G"/>
    <s v="England"/>
    <d v="2022-03-14T00:00:00"/>
    <d v="2022-03-24T00:00:00"/>
    <s v="0 months, 10 days"/>
    <n v="10"/>
    <n v="1.4285714285714286"/>
    <n v="2022"/>
  </r>
  <r>
    <s v="School_I (Primary)"/>
    <s v="Teaching Assistant"/>
    <x v="0"/>
    <s v="City_H"/>
    <s v="England"/>
    <d v="2022-03-28T00:00:00"/>
    <d v="2022-04-08T00:00:00"/>
    <s v="0 months, 11 days"/>
    <n v="11"/>
    <n v="1.5714285714285714"/>
    <n v="2022"/>
  </r>
  <r>
    <s v="School_J (Primary)"/>
    <s v="Teaching Assistant"/>
    <x v="0"/>
    <s v="City_E"/>
    <s v="England"/>
    <d v="2022-04-25T00:00:00"/>
    <d v="2022-04-29T00:00:00"/>
    <s v="0 months, 4 days"/>
    <n v="4"/>
    <n v="0.5714285714285714"/>
    <n v="2022"/>
  </r>
  <r>
    <s v="School_K (Nursery)"/>
    <s v="Teaching Assistant"/>
    <x v="0"/>
    <s v="City_E"/>
    <s v="England"/>
    <d v="2022-05-03T00:00:00"/>
    <d v="2022-05-04T00:00:00"/>
    <s v="0 months, 1 days"/>
    <n v="1"/>
    <n v="0.14285714285714285"/>
    <n v="2022"/>
  </r>
  <r>
    <s v="School_L (Primary)"/>
    <s v="Teaching Assistant"/>
    <x v="0"/>
    <s v="City_C"/>
    <s v="England"/>
    <d v="2022-05-04T00:00:00"/>
    <d v="2022-05-06T00:00:00"/>
    <s v="0 months, 2 days"/>
    <n v="2"/>
    <n v="0.2857142857142857"/>
    <n v="2022"/>
  </r>
  <r>
    <s v="School_M (Nursery)"/>
    <s v="Teaching Assistant"/>
    <x v="0"/>
    <s v="City_E"/>
    <s v="England"/>
    <d v="2022-05-09T00:00:00"/>
    <d v="2022-05-10T00:00:00"/>
    <s v="0 months, 1 days"/>
    <n v="1"/>
    <n v="0.14285714285714285"/>
    <n v="2022"/>
  </r>
  <r>
    <s v="School_N (Nursery)"/>
    <s v="Teaching Assistant"/>
    <x v="0"/>
    <s v="City_I"/>
    <s v="England"/>
    <d v="2022-05-10T00:00:00"/>
    <d v="2022-05-11T00:00:00"/>
    <s v="0 months, 1 days"/>
    <n v="1"/>
    <n v="0.14285714285714285"/>
    <n v="2022"/>
  </r>
  <r>
    <s v="School_O (Nursery)"/>
    <s v="Teaching Assistant"/>
    <x v="0"/>
    <s v="City_G"/>
    <s v="England"/>
    <d v="2022-05-12T00:00:00"/>
    <d v="2022-05-13T00:00:00"/>
    <s v="0 months, 1 days"/>
    <n v="1"/>
    <n v="0.14285714285714285"/>
    <n v="2022"/>
  </r>
  <r>
    <s v="School_J (Primary)"/>
    <s v="Teaching Assistant"/>
    <x v="0"/>
    <s v="City_E"/>
    <s v="England"/>
    <d v="2022-05-16T00:00:00"/>
    <d v="2022-05-20T00:00:00"/>
    <s v="0 months, 4 days"/>
    <n v="4"/>
    <n v="0.5714285714285714"/>
    <n v="2022"/>
  </r>
  <r>
    <s v="School_P (Primary)"/>
    <s v="Teaching Assistant"/>
    <x v="0"/>
    <s v="City_E"/>
    <s v="England"/>
    <d v="2022-05-23T00:00:00"/>
    <d v="2022-05-24T00:00:00"/>
    <s v="0 months, 1 days"/>
    <n v="1"/>
    <n v="0.14285714285714285"/>
    <n v="2022"/>
  </r>
  <r>
    <s v="School_J (Primary)"/>
    <s v="Teaching Assistant"/>
    <x v="0"/>
    <s v="City_E"/>
    <s v="England"/>
    <d v="2022-05-24T00:00:00"/>
    <d v="2022-05-27T00:00:00"/>
    <s v="0 months, 3 days"/>
    <n v="3"/>
    <n v="0.42857142857142855"/>
    <n v="2022"/>
  </r>
  <r>
    <s v="School_J (Primary)"/>
    <s v="Teaching Assistant"/>
    <x v="0"/>
    <s v="City_E"/>
    <s v="England"/>
    <d v="2022-06-13T00:00:00"/>
    <d v="2022-06-17T00:00:00"/>
    <s v="0 months, 4 days"/>
    <n v="4"/>
    <n v="0.5714285714285714"/>
    <n v="2022"/>
  </r>
  <r>
    <s v="School_Q (Secondary) "/>
    <s v="Teaching Assistant"/>
    <x v="0"/>
    <s v="City_E"/>
    <s v="England"/>
    <d v="2022-06-20T00:00:00"/>
    <d v="2022-06-21T00:00:00"/>
    <s v="0 months, 1 days"/>
    <n v="1"/>
    <n v="0.14285714285714285"/>
    <n v="2022"/>
  </r>
  <r>
    <s v="School_O (Nursery)"/>
    <s v="Teaching Assistant"/>
    <x v="0"/>
    <s v="City_G"/>
    <s v="England"/>
    <d v="2022-06-21T00:00:00"/>
    <d v="2022-06-22T00:00:00"/>
    <s v="0 months, 1 days"/>
    <n v="1"/>
    <n v="0.14285714285714285"/>
    <n v="2022"/>
  </r>
  <r>
    <s v="School_O (Nursery)"/>
    <s v="Teaching Assistant"/>
    <x v="0"/>
    <s v="City_G"/>
    <s v="England"/>
    <d v="2022-06-23T00:00:00"/>
    <d v="2022-06-24T00:00:00"/>
    <s v="0 months, 1 days"/>
    <n v="1"/>
    <n v="0.14285714285714285"/>
    <n v="2022"/>
  </r>
  <r>
    <s v="School_R (Primary)"/>
    <s v="Teaching Assistant"/>
    <x v="0"/>
    <s v="City_F"/>
    <s v="England"/>
    <d v="2022-06-27T00:00:00"/>
    <d v="2022-07-01T00:00:00"/>
    <s v="0 months, 4 days"/>
    <n v="4"/>
    <n v="0.5714285714285714"/>
    <n v="2022"/>
  </r>
  <r>
    <s v="School_S (Primary)"/>
    <s v="Teaching Assistant"/>
    <x v="0"/>
    <s v="City_F"/>
    <s v="England"/>
    <d v="2022-07-04T00:00:00"/>
    <d v="2022-07-05T00:00:00"/>
    <s v="0 months, 1 days"/>
    <n v="1"/>
    <n v="0.14285714285714285"/>
    <n v="2022"/>
  </r>
  <r>
    <s v="School_T (Primary)"/>
    <s v="Teaching Assistant"/>
    <x v="0"/>
    <s v="City_F"/>
    <s v="England"/>
    <d v="2022-07-06T00:00:00"/>
    <d v="2022-07-07T00:00:00"/>
    <s v="0 months, 1 days"/>
    <n v="1"/>
    <n v="0.14285714285714285"/>
    <n v="2022"/>
  </r>
  <r>
    <s v="School_J (Primary)"/>
    <s v="Teaching Assistant"/>
    <x v="0"/>
    <s v="City_E"/>
    <s v="England"/>
    <d v="2022-07-08T00:00:00"/>
    <d v="2022-07-09T00:00:00"/>
    <s v="0 months, 1 days"/>
    <n v="1"/>
    <n v="0.14285714285714285"/>
    <n v="2022"/>
  </r>
  <r>
    <s v="School_T (Primary)"/>
    <s v="Teaching Assistant"/>
    <x v="0"/>
    <s v="City_F"/>
    <s v="England"/>
    <d v="2022-07-11T00:00:00"/>
    <d v="2022-07-12T00:00:00"/>
    <s v="0 months, 1 days"/>
    <n v="1"/>
    <n v="0.14285714285714285"/>
    <n v="2022"/>
  </r>
  <r>
    <s v="School_I (Primary)"/>
    <s v="Teaching Assistant"/>
    <x v="0"/>
    <s v="City_H"/>
    <s v="England"/>
    <d v="2022-07-13T00:00:00"/>
    <d v="2022-07-14T00:00:00"/>
    <s v="0 months, 1 days"/>
    <n v="1"/>
    <n v="0.14285714285714285"/>
    <n v="2022"/>
  </r>
  <r>
    <s v="School_U (Nursery)"/>
    <s v="Teaching Assistant"/>
    <x v="0"/>
    <s v="City_F"/>
    <s v="England"/>
    <d v="2022-07-14T00:00:00"/>
    <d v="2022-07-15T00:00:00"/>
    <s v="0 months, 1 days"/>
    <n v="1"/>
    <n v="0.14285714285714285"/>
    <n v="2022"/>
  </r>
  <r>
    <s v="School_O (Nursery)"/>
    <s v="Teaching Assistant"/>
    <x v="0"/>
    <s v="City_G"/>
    <s v="England"/>
    <d v="2022-07-25T00:00:00"/>
    <d v="2022-07-29T00:00:00"/>
    <s v="0 months, 4 days"/>
    <n v="4"/>
    <n v="0.5714285714285714"/>
    <n v="2022"/>
  </r>
  <r>
    <s v="School_O (Nursery)"/>
    <s v="Teaching Assistant"/>
    <x v="0"/>
    <s v="City_G"/>
    <s v="England"/>
    <d v="2022-08-17T00:00:00"/>
    <d v="2022-08-18T00:00:00"/>
    <s v="0 months, 1 days"/>
    <n v="1"/>
    <n v="0.14285714285714285"/>
    <n v="2022"/>
  </r>
  <r>
    <s v="School_O (Nursery)"/>
    <s v="Teaching Assistant"/>
    <x v="0"/>
    <s v="City_G"/>
    <s v="England"/>
    <d v="2022-08-22T00:00:00"/>
    <d v="2022-08-25T00:00:00"/>
    <s v="0 months, 3 days"/>
    <n v="3"/>
    <n v="0.42857142857142855"/>
    <n v="2022"/>
  </r>
  <r>
    <s v="School_O (Nursery)"/>
    <s v="Teaching Assistant"/>
    <x v="0"/>
    <s v="City_G"/>
    <s v="England"/>
    <d v="2022-08-31T00:00:00"/>
    <d v="2022-09-02T00:00:00"/>
    <s v="0 months, 2 days"/>
    <n v="2"/>
    <n v="0.2857142857142857"/>
    <n v="2022"/>
  </r>
  <r>
    <s v="School_V (Secondary)"/>
    <s v="Teaching Assistant"/>
    <x v="0"/>
    <s v="City_C"/>
    <s v="England"/>
    <d v="2022-09-14T00:00:00"/>
    <d v="2022-09-15T00:00:00"/>
    <s v="0 months, 1 days"/>
    <n v="1"/>
    <n v="0.14285714285714285"/>
    <n v="2022"/>
  </r>
  <r>
    <s v="School_O (Nursery)"/>
    <s v="Teaching Assistant"/>
    <x v="0"/>
    <s v="City_G"/>
    <s v="England"/>
    <d v="2022-09-15T00:00:00"/>
    <d v="2022-09-16T00:00:00"/>
    <s v="0 months, 1 days"/>
    <n v="1"/>
    <n v="0.14285714285714285"/>
    <n v="2022"/>
  </r>
  <r>
    <s v="School_H (Primary)"/>
    <s v="Teaching Assistant"/>
    <x v="0"/>
    <s v="City_D"/>
    <s v="England"/>
    <d v="2024-02-27T00:00:00"/>
    <d v="2024-03-14T00:00:00"/>
    <s v="0 months, 16 days"/>
    <n v="16"/>
    <n v="2.2857142857142856"/>
    <n v="2024"/>
  </r>
  <r>
    <s v="School_W (Adult)"/>
    <s v="Teacher"/>
    <x v="0"/>
    <s v="City_J"/>
    <s v="Online"/>
    <d v="2024-10-08T00:00:00"/>
    <d v="2025-04-27T00:00:00"/>
    <s v="6 months, 19 days"/>
    <n v="201"/>
    <n v="28.714285714285715"/>
    <n v="2024"/>
  </r>
  <r>
    <s v="School_X (Primary)"/>
    <s v="Teaching Assistant"/>
    <x v="0"/>
    <s v="City_K"/>
    <s v="England"/>
    <d v="2024-10-28T00:00:00"/>
    <d v="2025-02-07T00:00:00"/>
    <s v="3 months, 10 days"/>
    <n v="102"/>
    <n v="14.571428571428571"/>
    <n v="2024"/>
  </r>
  <r>
    <s v="School_Y (Primary)"/>
    <s v="Teaching Assistant"/>
    <x v="0"/>
    <s v="City_D"/>
    <s v="England"/>
    <d v="2025-02-10T00:00:00"/>
    <d v="2026-02-13T00:00:00"/>
    <s v="12 months, 3 days"/>
    <n v="368"/>
    <n v="52.571428571428569"/>
    <n v="2025"/>
  </r>
  <r>
    <s v="Warehouse_A"/>
    <s v="Warehous Operative"/>
    <x v="1"/>
    <s v="City_L"/>
    <s v="England"/>
    <d v="2022-09-23T00:00:00"/>
    <d v="2023-06-22T00:00:00"/>
    <s v="8 months, 30 days"/>
    <n v="272"/>
    <n v="38.857142857142854"/>
    <n v="2022"/>
  </r>
  <r>
    <s v="Hotel_A"/>
    <s v="Admin Assistant"/>
    <x v="1"/>
    <s v="City_M"/>
    <s v="Bermuda"/>
    <d v="2007-02-12T00:00:00"/>
    <d v="2011-12-11T00:00:00"/>
    <s v="57 months, 29 days"/>
    <n v="1763"/>
    <n v="251.85714285714286"/>
    <n v="2007"/>
  </r>
  <r>
    <s v="Data_A"/>
    <s v="Market Researcher"/>
    <x v="1"/>
    <s v="City_J"/>
    <s v="England"/>
    <d v="2023-10-31T00:00:00"/>
    <d v="2024-10-14T00:00:00"/>
    <s v="11 months, 13 days"/>
    <n v="349"/>
    <n v="49.857142857142854"/>
    <n v="2023"/>
  </r>
  <r>
    <s v="Museum_A"/>
    <s v="Museum Operative"/>
    <x v="1"/>
    <s v="City_N"/>
    <s v="Bermuda"/>
    <d v="2005-06-12T00:00:00"/>
    <d v="2006-07-20T00:00:00"/>
    <s v="13 months, 8 days"/>
    <n v="403"/>
    <n v="57.571428571428569"/>
    <n v="2005"/>
  </r>
  <r>
    <s v="Call_Center_A"/>
    <s v="Payroll Administrator"/>
    <x v="1"/>
    <s v="City_E"/>
    <s v="England"/>
    <d v="2021-03-08T00:00:00"/>
    <d v="2021-08-23T00:00:00"/>
    <s v="5 months, 15 days"/>
    <n v="168"/>
    <n v="24"/>
    <n v="202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2FAF40-E852-49CA-9725-32F17625BE77}" name="PivotTable6"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C4" firstHeaderRow="0" firstDataRow="1" firstDataCol="1"/>
  <pivotFields count="12">
    <pivotField showAll="0"/>
    <pivotField showAll="0"/>
    <pivotField axis="axisRow" showAll="0">
      <items count="3">
        <item x="1"/>
        <item x="0"/>
        <item t="default"/>
      </items>
    </pivotField>
    <pivotField showAll="0"/>
    <pivotField showAll="0"/>
    <pivotField numFmtId="165" showAll="0"/>
    <pivotField numFmtId="165" showAll="0"/>
    <pivotField showAll="0"/>
    <pivotField dataField="1" numFmtId="1" showAll="0"/>
    <pivotField numFmtId="166" showAll="0"/>
    <pivotField showAll="0"/>
    <pivotField dataField="1" dragToRow="0" dragToCol="0" dragToPage="0" showAll="0" defaultSubtotal="0"/>
  </pivotFields>
  <rowFields count="1">
    <field x="2"/>
  </rowFields>
  <rowItems count="3">
    <i>
      <x/>
    </i>
    <i>
      <x v="1"/>
    </i>
    <i t="grand">
      <x/>
    </i>
  </rowItems>
  <colFields count="1">
    <field x="-2"/>
  </colFields>
  <colItems count="2">
    <i>
      <x/>
    </i>
    <i i="1">
      <x v="1"/>
    </i>
  </colItems>
  <dataFields count="2">
    <dataField name="Sum of Duration_Days" fld="8" baseField="0" baseItem="0" numFmtId="1"/>
    <dataField name="Sum of Duration_Years" fld="11" baseField="0" baseItem="0" numFmtId="166"/>
  </dataField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le_Category" xr10:uid="{96D7D491-196F-4E4B-B11E-7D7B8FC10FD3}" sourceName="Role_Category">
  <pivotTables>
    <pivotTable tabId="2" name="PivotTable6"/>
  </pivotTables>
  <data>
    <tabular pivotCacheId="155919813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le_Category" xr10:uid="{A7B0D76F-A79A-4F73-AD73-000002B3DA48}" cache="Slicer_Role_Category" caption="Role_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F71068-F76E-489E-8F72-7D95E349ABF8}" name="WorkHistory" displayName="WorkHistory" ref="A1:K46" totalsRowShown="0" headerRowDxfId="14" dataDxfId="13" headerRowBorderDxfId="11" tableBorderDxfId="12">
  <autoFilter ref="A1:K46" xr:uid="{89514A44-68AE-47A7-9852-20A8E35FC6ED}"/>
  <tableColumns count="11">
    <tableColumn id="1" xr3:uid="{A261E0F4-25BC-498D-8CE4-4FFD0BFA33CE}" name="Organisation" dataDxfId="10"/>
    <tableColumn id="2" xr3:uid="{962D22FC-E1E5-4053-AA2F-E71CD6CFEAD6}" name="Role" dataDxfId="9"/>
    <tableColumn id="11" xr3:uid="{E925527C-847F-41A3-8FD6-C7E3C809ECCF}" name="Role_Category" dataDxfId="8"/>
    <tableColumn id="3" xr3:uid="{D976CC21-7A1A-4C98-AC37-505F247ECFB3}" name="City" dataDxfId="7"/>
    <tableColumn id="4" xr3:uid="{80B06CD0-C485-473E-9C29-11690FC32CD6}" name="Country" dataDxfId="6"/>
    <tableColumn id="5" xr3:uid="{CC6C1C7B-1554-467F-9B94-8E0CFD7EA32B}" name="Start_Date" dataDxfId="5"/>
    <tableColumn id="6" xr3:uid="{452D1DC0-8648-4812-BA9C-77C8DFAE6C0D}" name="End_Date" dataDxfId="4"/>
    <tableColumn id="7" xr3:uid="{F5024EAB-65DE-48DD-8AE7-DF58B1CE2EBE}" name="Duration_Months_Days" dataDxfId="3">
      <calculatedColumnFormula>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calculatedColumnFormula>
    </tableColumn>
    <tableColumn id="8" xr3:uid="{35BD43D4-697E-42CC-A6D0-253342B22838}" name="Duration_Days" dataDxfId="2">
      <calculatedColumnFormula>IF(WorkHistory[[#This Row],[End_Date]]="",TODAY()-WorkHistory[[#This Row],[Start_Date]],WorkHistory[[#This Row],[End_Date]]-WorkHistory[[#This Row],[Start_Date]])</calculatedColumnFormula>
    </tableColumn>
    <tableColumn id="9" xr3:uid="{3E77DF07-5691-4A8E-B358-A95629D6C903}" name="Duration_Weeks" dataDxfId="1">
      <calculatedColumnFormula>WorkHistory[[#This Row],[Duration_Days]]/7</calculatedColumnFormula>
    </tableColumn>
    <tableColumn id="10" xr3:uid="{367A7C4C-6FBC-46A0-99EE-3BA1EC76ECDF}" name="Year_Started" dataDxfId="0">
      <calculatedColumnFormula>YEAR(F2)</calculatedColumnFormula>
    </tableColumn>
  </tableColumns>
  <tableStyleInfo name="TableStyleLight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DB9F4-1157-4891-AB8E-E02C9ACC646D}">
  <dimension ref="A1:C4"/>
  <sheetViews>
    <sheetView tabSelected="1" workbookViewId="0">
      <selection activeCell="K4" sqref="K4"/>
    </sheetView>
  </sheetViews>
  <sheetFormatPr defaultRowHeight="14.5" x14ac:dyDescent="0.35"/>
  <cols>
    <col min="1" max="1" width="12.36328125" bestFit="1" customWidth="1"/>
    <col min="2" max="2" width="19.7265625" bestFit="1" customWidth="1"/>
    <col min="3" max="3" width="20.26953125" bestFit="1" customWidth="1"/>
  </cols>
  <sheetData>
    <row r="1" spans="1:3" x14ac:dyDescent="0.35">
      <c r="A1" t="s">
        <v>68</v>
      </c>
      <c r="B1" t="s">
        <v>69</v>
      </c>
      <c r="C1" t="s">
        <v>70</v>
      </c>
    </row>
    <row r="2" spans="1:3" x14ac:dyDescent="0.35">
      <c r="A2" s="14" t="s">
        <v>55</v>
      </c>
      <c r="B2" s="15">
        <v>2955</v>
      </c>
      <c r="C2" s="12">
        <v>8.0958904109589049</v>
      </c>
    </row>
    <row r="3" spans="1:3" x14ac:dyDescent="0.35">
      <c r="A3" s="14" t="s">
        <v>13</v>
      </c>
      <c r="B3" s="15">
        <v>2851</v>
      </c>
      <c r="C3" s="12">
        <v>7.8109589041095893</v>
      </c>
    </row>
    <row r="4" spans="1:3" x14ac:dyDescent="0.35">
      <c r="A4" s="14" t="s">
        <v>71</v>
      </c>
      <c r="B4" s="15">
        <v>5806</v>
      </c>
      <c r="C4" s="12">
        <v>15.906849315068493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DCFEC-AE3F-489B-9266-F61501CBA469}">
  <dimension ref="A1:K46"/>
  <sheetViews>
    <sheetView topLeftCell="A27" workbookViewId="0">
      <selection activeCell="E39" sqref="E39"/>
    </sheetView>
  </sheetViews>
  <sheetFormatPr defaultRowHeight="14.5" x14ac:dyDescent="0.35"/>
  <cols>
    <col min="1" max="1" width="19.6328125" bestFit="1" customWidth="1"/>
    <col min="2" max="2" width="18.26953125" bestFit="1" customWidth="1"/>
    <col min="3" max="3" width="16.453125" bestFit="1" customWidth="1"/>
    <col min="5" max="5" width="12.81640625" bestFit="1" customWidth="1"/>
    <col min="6" max="6" width="11.90625" bestFit="1" customWidth="1"/>
    <col min="7" max="7" width="25.08984375" bestFit="1" customWidth="1"/>
    <col min="8" max="8" width="16.7265625" bestFit="1" customWidth="1"/>
    <col min="9" max="9" width="18.54296875" bestFit="1" customWidth="1"/>
    <col min="10" max="10" width="14.90625" bestFit="1" customWidth="1"/>
  </cols>
  <sheetData>
    <row r="1" spans="1:11" ht="15.5" x14ac:dyDescent="0.35">
      <c r="A1" s="1" t="s">
        <v>0</v>
      </c>
      <c r="B1" s="1" t="s">
        <v>1</v>
      </c>
      <c r="C1" s="1" t="s">
        <v>2</v>
      </c>
      <c r="D1" s="1" t="s">
        <v>3</v>
      </c>
      <c r="E1" s="1" t="s">
        <v>4</v>
      </c>
      <c r="F1" s="2" t="s">
        <v>5</v>
      </c>
      <c r="G1" s="2" t="s">
        <v>6</v>
      </c>
      <c r="H1" s="3" t="s">
        <v>7</v>
      </c>
      <c r="I1" s="3" t="s">
        <v>8</v>
      </c>
      <c r="J1" s="1" t="s">
        <v>9</v>
      </c>
      <c r="K1" s="4" t="s">
        <v>10</v>
      </c>
    </row>
    <row r="2" spans="1:11" x14ac:dyDescent="0.35">
      <c r="A2" s="5" t="s">
        <v>11</v>
      </c>
      <c r="B2" s="5" t="s">
        <v>12</v>
      </c>
      <c r="C2" s="5" t="s">
        <v>13</v>
      </c>
      <c r="D2" s="5" t="s">
        <v>14</v>
      </c>
      <c r="E2" s="5" t="s">
        <v>15</v>
      </c>
      <c r="F2" s="6">
        <v>41506</v>
      </c>
      <c r="G2" s="6">
        <v>43450</v>
      </c>
      <c r="H2"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63 months, 26 days</v>
      </c>
      <c r="I2" s="7">
        <f ca="1">IF(WorkHistory[[#This Row],[End_Date]]="",TODAY()-WorkHistory[[#This Row],[Start_Date]],WorkHistory[[#This Row],[End_Date]]-WorkHistory[[#This Row],[Start_Date]])</f>
        <v>1944</v>
      </c>
      <c r="J2" s="8">
        <f ca="1">WorkHistory[[#This Row],[Duration_Days]]/7</f>
        <v>277.71428571428572</v>
      </c>
      <c r="K2" s="9">
        <f t="shared" ref="K2:K41" si="0">YEAR(F2)</f>
        <v>2013</v>
      </c>
    </row>
    <row r="3" spans="1:11" x14ac:dyDescent="0.35">
      <c r="A3" s="10" t="s">
        <v>16</v>
      </c>
      <c r="B3" s="10" t="s">
        <v>17</v>
      </c>
      <c r="C3" s="5" t="s">
        <v>13</v>
      </c>
      <c r="D3" s="10" t="s">
        <v>18</v>
      </c>
      <c r="E3" s="10" t="s">
        <v>19</v>
      </c>
      <c r="F3" s="11">
        <v>44452</v>
      </c>
      <c r="G3" s="11">
        <v>44519</v>
      </c>
      <c r="H3"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2 months, 6 days</v>
      </c>
      <c r="I3" s="7">
        <f ca="1">IF(WorkHistory[[#This Row],[End_Date]]="",TODAY()-WorkHistory[[#This Row],[Start_Date]],WorkHistory[[#This Row],[End_Date]]-WorkHistory[[#This Row],[Start_Date]])</f>
        <v>67</v>
      </c>
      <c r="J3" s="8">
        <f ca="1">WorkHistory[[#This Row],[Duration_Days]]/7</f>
        <v>9.5714285714285712</v>
      </c>
      <c r="K3" s="9">
        <f t="shared" si="0"/>
        <v>2021</v>
      </c>
    </row>
    <row r="4" spans="1:11" x14ac:dyDescent="0.35">
      <c r="A4" s="10" t="s">
        <v>20</v>
      </c>
      <c r="B4" s="10" t="s">
        <v>17</v>
      </c>
      <c r="C4" s="5" t="s">
        <v>13</v>
      </c>
      <c r="D4" s="10" t="s">
        <v>21</v>
      </c>
      <c r="E4" s="10" t="s">
        <v>19</v>
      </c>
      <c r="F4" s="11">
        <v>44522</v>
      </c>
      <c r="G4" s="11">
        <v>44589</v>
      </c>
      <c r="H4"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2 months, 6 days</v>
      </c>
      <c r="I4" s="7">
        <f ca="1">IF(WorkHistory[[#This Row],[End_Date]]="",TODAY()-WorkHistory[[#This Row],[Start_Date]],WorkHistory[[#This Row],[End_Date]]-WorkHistory[[#This Row],[Start_Date]])</f>
        <v>67</v>
      </c>
      <c r="J4" s="8">
        <f ca="1">WorkHistory[[#This Row],[Duration_Days]]/7</f>
        <v>9.5714285714285712</v>
      </c>
      <c r="K4" s="9">
        <f t="shared" si="0"/>
        <v>2021</v>
      </c>
    </row>
    <row r="5" spans="1:11" x14ac:dyDescent="0.35">
      <c r="A5" s="10" t="s">
        <v>22</v>
      </c>
      <c r="B5" s="10" t="s">
        <v>17</v>
      </c>
      <c r="C5" s="5" t="s">
        <v>13</v>
      </c>
      <c r="D5" s="10" t="s">
        <v>23</v>
      </c>
      <c r="E5" s="10" t="s">
        <v>19</v>
      </c>
      <c r="F5" s="11">
        <v>44593</v>
      </c>
      <c r="G5" s="11">
        <v>44600</v>
      </c>
      <c r="H5"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7 days</v>
      </c>
      <c r="I5" s="7">
        <f ca="1">IF(WorkHistory[[#This Row],[End_Date]]="",TODAY()-WorkHistory[[#This Row],[Start_Date]],WorkHistory[[#This Row],[End_Date]]-WorkHistory[[#This Row],[Start_Date]])</f>
        <v>7</v>
      </c>
      <c r="J5" s="8">
        <f ca="1">WorkHistory[[#This Row],[Duration_Days]]/7</f>
        <v>1</v>
      </c>
      <c r="K5" s="9">
        <f t="shared" si="0"/>
        <v>2022</v>
      </c>
    </row>
    <row r="6" spans="1:11" x14ac:dyDescent="0.35">
      <c r="A6" s="10" t="s">
        <v>24</v>
      </c>
      <c r="B6" s="10" t="s">
        <v>17</v>
      </c>
      <c r="C6" s="5" t="s">
        <v>13</v>
      </c>
      <c r="D6" t="s">
        <v>25</v>
      </c>
      <c r="E6" s="10" t="s">
        <v>19</v>
      </c>
      <c r="F6" s="11">
        <v>44613</v>
      </c>
      <c r="G6" s="11">
        <v>44617</v>
      </c>
      <c r="H6"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4 days</v>
      </c>
      <c r="I6" s="7">
        <f ca="1">IF(WorkHistory[[#This Row],[End_Date]]="",TODAY()-WorkHistory[[#This Row],[Start_Date]],WorkHistory[[#This Row],[End_Date]]-WorkHistory[[#This Row],[Start_Date]])</f>
        <v>4</v>
      </c>
      <c r="J6" s="8">
        <f ca="1">WorkHistory[[#This Row],[Duration_Days]]/7</f>
        <v>0.5714285714285714</v>
      </c>
      <c r="K6" s="9">
        <f t="shared" si="0"/>
        <v>2022</v>
      </c>
    </row>
    <row r="7" spans="1:11" x14ac:dyDescent="0.35">
      <c r="A7" s="10" t="s">
        <v>26</v>
      </c>
      <c r="B7" s="10" t="s">
        <v>17</v>
      </c>
      <c r="C7" s="5" t="s">
        <v>13</v>
      </c>
      <c r="D7" t="s">
        <v>27</v>
      </c>
      <c r="E7" s="10" t="s">
        <v>19</v>
      </c>
      <c r="F7" s="11">
        <v>44620</v>
      </c>
      <c r="G7" s="11">
        <v>44620</v>
      </c>
      <c r="H7"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0 days</v>
      </c>
      <c r="I7" s="7">
        <f ca="1">IF(WorkHistory[[#This Row],[End_Date]]="",TODAY()-WorkHistory[[#This Row],[Start_Date]],WorkHistory[[#This Row],[End_Date]]-WorkHistory[[#This Row],[Start_Date]])</f>
        <v>0</v>
      </c>
      <c r="J7" s="8">
        <f ca="1">WorkHistory[[#This Row],[Duration_Days]]/7</f>
        <v>0</v>
      </c>
      <c r="K7" s="9">
        <f t="shared" si="0"/>
        <v>2022</v>
      </c>
    </row>
    <row r="8" spans="1:11" x14ac:dyDescent="0.35">
      <c r="A8" s="10" t="s">
        <v>28</v>
      </c>
      <c r="B8" s="10" t="s">
        <v>17</v>
      </c>
      <c r="C8" s="5" t="s">
        <v>13</v>
      </c>
      <c r="D8" t="s">
        <v>29</v>
      </c>
      <c r="E8" s="10" t="s">
        <v>19</v>
      </c>
      <c r="F8" s="11">
        <v>44621</v>
      </c>
      <c r="G8" s="11">
        <v>44624</v>
      </c>
      <c r="H8"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3 days</v>
      </c>
      <c r="I8" s="7">
        <f ca="1">IF(WorkHistory[[#This Row],[End_Date]]="",TODAY()-WorkHistory[[#This Row],[Start_Date]],WorkHistory[[#This Row],[End_Date]]-WorkHistory[[#This Row],[Start_Date]])</f>
        <v>3</v>
      </c>
      <c r="J8" s="8">
        <f ca="1">WorkHistory[[#This Row],[Duration_Days]]/7</f>
        <v>0.42857142857142855</v>
      </c>
      <c r="K8" s="9">
        <f t="shared" si="0"/>
        <v>2022</v>
      </c>
    </row>
    <row r="9" spans="1:11" x14ac:dyDescent="0.35">
      <c r="A9" s="10" t="s">
        <v>30</v>
      </c>
      <c r="B9" s="10" t="s">
        <v>17</v>
      </c>
      <c r="C9" s="5" t="s">
        <v>13</v>
      </c>
      <c r="D9" s="10" t="s">
        <v>23</v>
      </c>
      <c r="E9" s="10" t="s">
        <v>19</v>
      </c>
      <c r="F9" s="11">
        <v>44627</v>
      </c>
      <c r="G9" s="11">
        <v>44631</v>
      </c>
      <c r="H9"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4 days</v>
      </c>
      <c r="I9" s="7">
        <f ca="1">IF(WorkHistory[[#This Row],[End_Date]]="",TODAY()-WorkHistory[[#This Row],[Start_Date]],WorkHistory[[#This Row],[End_Date]]-WorkHistory[[#This Row],[Start_Date]])</f>
        <v>4</v>
      </c>
      <c r="J9" s="8">
        <f ca="1">WorkHistory[[#This Row],[Duration_Days]]/7</f>
        <v>0.5714285714285714</v>
      </c>
      <c r="K9" s="9">
        <f t="shared" si="0"/>
        <v>2022</v>
      </c>
    </row>
    <row r="10" spans="1:11" x14ac:dyDescent="0.35">
      <c r="A10" s="10" t="s">
        <v>28</v>
      </c>
      <c r="B10" s="10" t="s">
        <v>17</v>
      </c>
      <c r="C10" s="5" t="s">
        <v>13</v>
      </c>
      <c r="D10" s="10" t="s">
        <v>29</v>
      </c>
      <c r="E10" s="10" t="s">
        <v>19</v>
      </c>
      <c r="F10" s="11">
        <v>44634</v>
      </c>
      <c r="G10" s="11">
        <v>44644</v>
      </c>
      <c r="H10"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10 days</v>
      </c>
      <c r="I10" s="7">
        <f ca="1">IF(WorkHistory[[#This Row],[End_Date]]="",TODAY()-WorkHistory[[#This Row],[Start_Date]],WorkHistory[[#This Row],[End_Date]]-WorkHistory[[#This Row],[Start_Date]])</f>
        <v>10</v>
      </c>
      <c r="J10" s="8">
        <f ca="1">WorkHistory[[#This Row],[Duration_Days]]/7</f>
        <v>1.4285714285714286</v>
      </c>
      <c r="K10" s="9">
        <f t="shared" si="0"/>
        <v>2022</v>
      </c>
    </row>
    <row r="11" spans="1:11" x14ac:dyDescent="0.35">
      <c r="A11" s="10" t="s">
        <v>31</v>
      </c>
      <c r="B11" s="10" t="s">
        <v>17</v>
      </c>
      <c r="C11" s="5" t="s">
        <v>13</v>
      </c>
      <c r="D11" t="s">
        <v>32</v>
      </c>
      <c r="E11" s="10" t="s">
        <v>19</v>
      </c>
      <c r="F11" s="11">
        <v>44648</v>
      </c>
      <c r="G11" s="11">
        <v>44659</v>
      </c>
      <c r="H11"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11 days</v>
      </c>
      <c r="I11" s="7">
        <f ca="1">IF(WorkHistory[[#This Row],[End_Date]]="",TODAY()-WorkHistory[[#This Row],[Start_Date]],WorkHistory[[#This Row],[End_Date]]-WorkHistory[[#This Row],[Start_Date]])</f>
        <v>11</v>
      </c>
      <c r="J11" s="8">
        <f ca="1">WorkHistory[[#This Row],[Duration_Days]]/7</f>
        <v>1.5714285714285714</v>
      </c>
      <c r="K11" s="9">
        <f t="shared" si="0"/>
        <v>2022</v>
      </c>
    </row>
    <row r="12" spans="1:11" x14ac:dyDescent="0.35">
      <c r="A12" s="10" t="s">
        <v>33</v>
      </c>
      <c r="B12" s="10" t="s">
        <v>17</v>
      </c>
      <c r="C12" s="5" t="s">
        <v>13</v>
      </c>
      <c r="D12" s="10" t="s">
        <v>25</v>
      </c>
      <c r="E12" s="10" t="s">
        <v>19</v>
      </c>
      <c r="F12" s="11">
        <v>44676</v>
      </c>
      <c r="G12" s="11">
        <v>44680</v>
      </c>
      <c r="H12"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4 days</v>
      </c>
      <c r="I12" s="7">
        <f ca="1">IF(WorkHistory[[#This Row],[End_Date]]="",TODAY()-WorkHistory[[#This Row],[Start_Date]],WorkHistory[[#This Row],[End_Date]]-WorkHistory[[#This Row],[Start_Date]])</f>
        <v>4</v>
      </c>
      <c r="J12" s="8">
        <f ca="1">WorkHistory[[#This Row],[Duration_Days]]/7</f>
        <v>0.5714285714285714</v>
      </c>
      <c r="K12" s="9">
        <f t="shared" si="0"/>
        <v>2022</v>
      </c>
    </row>
    <row r="13" spans="1:11" x14ac:dyDescent="0.35">
      <c r="A13" s="10" t="s">
        <v>34</v>
      </c>
      <c r="B13" s="10" t="s">
        <v>17</v>
      </c>
      <c r="C13" s="5" t="s">
        <v>13</v>
      </c>
      <c r="D13" s="10" t="s">
        <v>25</v>
      </c>
      <c r="E13" s="10" t="s">
        <v>19</v>
      </c>
      <c r="F13" s="11">
        <v>44684</v>
      </c>
      <c r="G13" s="11">
        <v>44685</v>
      </c>
      <c r="H13"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1 days</v>
      </c>
      <c r="I13" s="7">
        <f ca="1">IF(WorkHistory[[#This Row],[End_Date]]="",TODAY()-WorkHistory[[#This Row],[Start_Date]],WorkHistory[[#This Row],[End_Date]]-WorkHistory[[#This Row],[Start_Date]])</f>
        <v>1</v>
      </c>
      <c r="J13" s="8">
        <f ca="1">WorkHistory[[#This Row],[Duration_Days]]/7</f>
        <v>0.14285714285714285</v>
      </c>
      <c r="K13" s="9">
        <f t="shared" si="0"/>
        <v>2022</v>
      </c>
    </row>
    <row r="14" spans="1:11" x14ac:dyDescent="0.35">
      <c r="A14" s="10" t="s">
        <v>35</v>
      </c>
      <c r="B14" s="10" t="s">
        <v>17</v>
      </c>
      <c r="C14" s="5" t="s">
        <v>13</v>
      </c>
      <c r="D14" s="10" t="s">
        <v>21</v>
      </c>
      <c r="E14" s="10" t="s">
        <v>19</v>
      </c>
      <c r="F14" s="11">
        <v>44685</v>
      </c>
      <c r="G14" s="11">
        <v>44687</v>
      </c>
      <c r="H14"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2 days</v>
      </c>
      <c r="I14" s="7">
        <f ca="1">IF(WorkHistory[[#This Row],[End_Date]]="",TODAY()-WorkHistory[[#This Row],[Start_Date]],WorkHistory[[#This Row],[End_Date]]-WorkHistory[[#This Row],[Start_Date]])</f>
        <v>2</v>
      </c>
      <c r="J14" s="8">
        <f ca="1">WorkHistory[[#This Row],[Duration_Days]]/7</f>
        <v>0.2857142857142857</v>
      </c>
      <c r="K14" s="9">
        <f t="shared" si="0"/>
        <v>2022</v>
      </c>
    </row>
    <row r="15" spans="1:11" x14ac:dyDescent="0.35">
      <c r="A15" s="10" t="s">
        <v>36</v>
      </c>
      <c r="B15" s="10" t="s">
        <v>17</v>
      </c>
      <c r="C15" s="5" t="s">
        <v>13</v>
      </c>
      <c r="D15" s="10" t="s">
        <v>25</v>
      </c>
      <c r="E15" s="10" t="s">
        <v>19</v>
      </c>
      <c r="F15" s="11">
        <v>44690</v>
      </c>
      <c r="G15" s="11">
        <v>44691</v>
      </c>
      <c r="H15"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1 days</v>
      </c>
      <c r="I15" s="7">
        <f ca="1">IF(WorkHistory[[#This Row],[End_Date]]="",TODAY()-WorkHistory[[#This Row],[Start_Date]],WorkHistory[[#This Row],[End_Date]]-WorkHistory[[#This Row],[Start_Date]])</f>
        <v>1</v>
      </c>
      <c r="J15" s="8">
        <f ca="1">WorkHistory[[#This Row],[Duration_Days]]/7</f>
        <v>0.14285714285714285</v>
      </c>
      <c r="K15" s="9">
        <f t="shared" si="0"/>
        <v>2022</v>
      </c>
    </row>
    <row r="16" spans="1:11" x14ac:dyDescent="0.35">
      <c r="A16" s="10" t="s">
        <v>37</v>
      </c>
      <c r="B16" s="10" t="s">
        <v>17</v>
      </c>
      <c r="C16" s="5" t="s">
        <v>13</v>
      </c>
      <c r="D16" t="s">
        <v>38</v>
      </c>
      <c r="E16" s="10" t="s">
        <v>19</v>
      </c>
      <c r="F16" s="11">
        <v>44691</v>
      </c>
      <c r="G16" s="11">
        <v>44692</v>
      </c>
      <c r="H16"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1 days</v>
      </c>
      <c r="I16" s="7">
        <f ca="1">IF(WorkHistory[[#This Row],[End_Date]]="",TODAY()-WorkHistory[[#This Row],[Start_Date]],WorkHistory[[#This Row],[End_Date]]-WorkHistory[[#This Row],[Start_Date]])</f>
        <v>1</v>
      </c>
      <c r="J16" s="8">
        <f ca="1">WorkHistory[[#This Row],[Duration_Days]]/7</f>
        <v>0.14285714285714285</v>
      </c>
      <c r="K16" s="9">
        <f t="shared" si="0"/>
        <v>2022</v>
      </c>
    </row>
    <row r="17" spans="1:11" x14ac:dyDescent="0.35">
      <c r="A17" s="10" t="s">
        <v>39</v>
      </c>
      <c r="B17" s="10" t="s">
        <v>17</v>
      </c>
      <c r="C17" s="5" t="s">
        <v>13</v>
      </c>
      <c r="D17" s="10" t="s">
        <v>29</v>
      </c>
      <c r="E17" s="10" t="s">
        <v>19</v>
      </c>
      <c r="F17" s="11">
        <v>44693</v>
      </c>
      <c r="G17" s="11">
        <v>44694</v>
      </c>
      <c r="H17"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1 days</v>
      </c>
      <c r="I17" s="7">
        <f ca="1">IF(WorkHistory[[#This Row],[End_Date]]="",TODAY()-WorkHistory[[#This Row],[Start_Date]],WorkHistory[[#This Row],[End_Date]]-WorkHistory[[#This Row],[Start_Date]])</f>
        <v>1</v>
      </c>
      <c r="J17" s="8">
        <f ca="1">WorkHistory[[#This Row],[Duration_Days]]/7</f>
        <v>0.14285714285714285</v>
      </c>
      <c r="K17" s="9">
        <f t="shared" si="0"/>
        <v>2022</v>
      </c>
    </row>
    <row r="18" spans="1:11" x14ac:dyDescent="0.35">
      <c r="A18" s="10" t="s">
        <v>33</v>
      </c>
      <c r="B18" s="10" t="s">
        <v>17</v>
      </c>
      <c r="C18" s="5" t="s">
        <v>13</v>
      </c>
      <c r="D18" s="10" t="s">
        <v>25</v>
      </c>
      <c r="E18" s="10" t="s">
        <v>19</v>
      </c>
      <c r="F18" s="11">
        <v>44697</v>
      </c>
      <c r="G18" s="11">
        <v>44701</v>
      </c>
      <c r="H18"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4 days</v>
      </c>
      <c r="I18" s="7">
        <f ca="1">IF(WorkHistory[[#This Row],[End_Date]]="",TODAY()-WorkHistory[[#This Row],[Start_Date]],WorkHistory[[#This Row],[End_Date]]-WorkHistory[[#This Row],[Start_Date]])</f>
        <v>4</v>
      </c>
      <c r="J18" s="8">
        <f ca="1">WorkHistory[[#This Row],[Duration_Days]]/7</f>
        <v>0.5714285714285714</v>
      </c>
      <c r="K18" s="9">
        <f t="shared" si="0"/>
        <v>2022</v>
      </c>
    </row>
    <row r="19" spans="1:11" x14ac:dyDescent="0.35">
      <c r="A19" s="10" t="s">
        <v>40</v>
      </c>
      <c r="B19" s="10" t="s">
        <v>17</v>
      </c>
      <c r="C19" s="5" t="s">
        <v>13</v>
      </c>
      <c r="D19" s="10" t="s">
        <v>25</v>
      </c>
      <c r="E19" s="10" t="s">
        <v>19</v>
      </c>
      <c r="F19" s="11">
        <v>44704</v>
      </c>
      <c r="G19" s="11">
        <v>44705</v>
      </c>
      <c r="H19"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1 days</v>
      </c>
      <c r="I19" s="7">
        <f ca="1">IF(WorkHistory[[#This Row],[End_Date]]="",TODAY()-WorkHistory[[#This Row],[Start_Date]],WorkHistory[[#This Row],[End_Date]]-WorkHistory[[#This Row],[Start_Date]])</f>
        <v>1</v>
      </c>
      <c r="J19" s="8">
        <f ca="1">WorkHistory[[#This Row],[Duration_Days]]/7</f>
        <v>0.14285714285714285</v>
      </c>
      <c r="K19" s="9">
        <f t="shared" si="0"/>
        <v>2022</v>
      </c>
    </row>
    <row r="20" spans="1:11" x14ac:dyDescent="0.35">
      <c r="A20" s="10" t="s">
        <v>33</v>
      </c>
      <c r="B20" s="10" t="s">
        <v>17</v>
      </c>
      <c r="C20" s="5" t="s">
        <v>13</v>
      </c>
      <c r="D20" s="10" t="s">
        <v>25</v>
      </c>
      <c r="E20" s="10" t="s">
        <v>19</v>
      </c>
      <c r="F20" s="11">
        <v>44705</v>
      </c>
      <c r="G20" s="11">
        <v>44708</v>
      </c>
      <c r="H20"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3 days</v>
      </c>
      <c r="I20" s="7">
        <f ca="1">IF(WorkHistory[[#This Row],[End_Date]]="",TODAY()-WorkHistory[[#This Row],[Start_Date]],WorkHistory[[#This Row],[End_Date]]-WorkHistory[[#This Row],[Start_Date]])</f>
        <v>3</v>
      </c>
      <c r="J20" s="8">
        <f ca="1">WorkHistory[[#This Row],[Duration_Days]]/7</f>
        <v>0.42857142857142855</v>
      </c>
      <c r="K20" s="9">
        <f t="shared" si="0"/>
        <v>2022</v>
      </c>
    </row>
    <row r="21" spans="1:11" x14ac:dyDescent="0.35">
      <c r="A21" s="10" t="s">
        <v>33</v>
      </c>
      <c r="B21" s="10" t="s">
        <v>17</v>
      </c>
      <c r="C21" s="5" t="s">
        <v>13</v>
      </c>
      <c r="D21" s="10" t="s">
        <v>25</v>
      </c>
      <c r="E21" s="10" t="s">
        <v>19</v>
      </c>
      <c r="F21" s="11">
        <v>44725</v>
      </c>
      <c r="G21" s="11">
        <v>44729</v>
      </c>
      <c r="H21"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4 days</v>
      </c>
      <c r="I21" s="7">
        <f ca="1">IF(WorkHistory[[#This Row],[End_Date]]="",TODAY()-WorkHistory[[#This Row],[Start_Date]],WorkHistory[[#This Row],[End_Date]]-WorkHistory[[#This Row],[Start_Date]])</f>
        <v>4</v>
      </c>
      <c r="J21" s="8">
        <f ca="1">WorkHistory[[#This Row],[Duration_Days]]/7</f>
        <v>0.5714285714285714</v>
      </c>
      <c r="K21" s="9">
        <f t="shared" si="0"/>
        <v>2022</v>
      </c>
    </row>
    <row r="22" spans="1:11" x14ac:dyDescent="0.35">
      <c r="A22" s="10" t="s">
        <v>41</v>
      </c>
      <c r="B22" s="10" t="s">
        <v>17</v>
      </c>
      <c r="C22" s="5" t="s">
        <v>13</v>
      </c>
      <c r="D22" s="10" t="s">
        <v>25</v>
      </c>
      <c r="E22" s="10" t="s">
        <v>19</v>
      </c>
      <c r="F22" s="11">
        <v>44732</v>
      </c>
      <c r="G22" s="11">
        <v>44733</v>
      </c>
      <c r="H22"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1 days</v>
      </c>
      <c r="I22" s="7">
        <f ca="1">IF(WorkHistory[[#This Row],[End_Date]]="",TODAY()-WorkHistory[[#This Row],[Start_Date]],WorkHistory[[#This Row],[End_Date]]-WorkHistory[[#This Row],[Start_Date]])</f>
        <v>1</v>
      </c>
      <c r="J22" s="8">
        <f ca="1">WorkHistory[[#This Row],[Duration_Days]]/7</f>
        <v>0.14285714285714285</v>
      </c>
      <c r="K22" s="9">
        <f t="shared" si="0"/>
        <v>2022</v>
      </c>
    </row>
    <row r="23" spans="1:11" x14ac:dyDescent="0.35">
      <c r="A23" s="10" t="s">
        <v>39</v>
      </c>
      <c r="B23" s="10" t="s">
        <v>17</v>
      </c>
      <c r="C23" s="5" t="s">
        <v>13</v>
      </c>
      <c r="D23" s="10" t="s">
        <v>29</v>
      </c>
      <c r="E23" s="10" t="s">
        <v>19</v>
      </c>
      <c r="F23" s="11">
        <v>44733</v>
      </c>
      <c r="G23" s="11">
        <v>44734</v>
      </c>
      <c r="H23"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1 days</v>
      </c>
      <c r="I23" s="7">
        <f ca="1">IF(WorkHistory[[#This Row],[End_Date]]="",TODAY()-WorkHistory[[#This Row],[Start_Date]],WorkHistory[[#This Row],[End_Date]]-WorkHistory[[#This Row],[Start_Date]])</f>
        <v>1</v>
      </c>
      <c r="J23" s="8">
        <f ca="1">WorkHistory[[#This Row],[Duration_Days]]/7</f>
        <v>0.14285714285714285</v>
      </c>
      <c r="K23" s="9">
        <f t="shared" si="0"/>
        <v>2022</v>
      </c>
    </row>
    <row r="24" spans="1:11" x14ac:dyDescent="0.35">
      <c r="A24" s="10" t="s">
        <v>39</v>
      </c>
      <c r="B24" s="10" t="s">
        <v>17</v>
      </c>
      <c r="C24" s="5" t="s">
        <v>13</v>
      </c>
      <c r="D24" s="10" t="s">
        <v>29</v>
      </c>
      <c r="E24" s="10" t="s">
        <v>19</v>
      </c>
      <c r="F24" s="11">
        <v>44735</v>
      </c>
      <c r="G24" s="11">
        <v>44736</v>
      </c>
      <c r="H24"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1 days</v>
      </c>
      <c r="I24" s="7">
        <f ca="1">IF(WorkHistory[[#This Row],[End_Date]]="",TODAY()-WorkHistory[[#This Row],[Start_Date]],WorkHistory[[#This Row],[End_Date]]-WorkHistory[[#This Row],[Start_Date]])</f>
        <v>1</v>
      </c>
      <c r="J24" s="8">
        <f ca="1">WorkHistory[[#This Row],[Duration_Days]]/7</f>
        <v>0.14285714285714285</v>
      </c>
      <c r="K24" s="9">
        <f t="shared" si="0"/>
        <v>2022</v>
      </c>
    </row>
    <row r="25" spans="1:11" x14ac:dyDescent="0.35">
      <c r="A25" s="10" t="s">
        <v>42</v>
      </c>
      <c r="B25" s="10" t="s">
        <v>17</v>
      </c>
      <c r="C25" s="5" t="s">
        <v>13</v>
      </c>
      <c r="D25" s="10" t="s">
        <v>27</v>
      </c>
      <c r="E25" s="10" t="s">
        <v>19</v>
      </c>
      <c r="F25" s="11">
        <v>44739</v>
      </c>
      <c r="G25" s="11">
        <v>44743</v>
      </c>
      <c r="H25"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4 days</v>
      </c>
      <c r="I25" s="7">
        <f ca="1">IF(WorkHistory[[#This Row],[End_Date]]="",TODAY()-WorkHistory[[#This Row],[Start_Date]],WorkHistory[[#This Row],[End_Date]]-WorkHistory[[#This Row],[Start_Date]])</f>
        <v>4</v>
      </c>
      <c r="J25" s="8">
        <f ca="1">WorkHistory[[#This Row],[Duration_Days]]/7</f>
        <v>0.5714285714285714</v>
      </c>
      <c r="K25" s="9">
        <f t="shared" si="0"/>
        <v>2022</v>
      </c>
    </row>
    <row r="26" spans="1:11" x14ac:dyDescent="0.35">
      <c r="A26" s="10" t="s">
        <v>43</v>
      </c>
      <c r="B26" s="10" t="s">
        <v>17</v>
      </c>
      <c r="C26" s="5" t="s">
        <v>13</v>
      </c>
      <c r="D26" s="10" t="s">
        <v>27</v>
      </c>
      <c r="E26" s="10" t="s">
        <v>19</v>
      </c>
      <c r="F26" s="11">
        <v>44746</v>
      </c>
      <c r="G26" s="11">
        <v>44747</v>
      </c>
      <c r="H26"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1 days</v>
      </c>
      <c r="I26" s="7">
        <f ca="1">IF(WorkHistory[[#This Row],[End_Date]]="",TODAY()-WorkHistory[[#This Row],[Start_Date]],WorkHistory[[#This Row],[End_Date]]-WorkHistory[[#This Row],[Start_Date]])</f>
        <v>1</v>
      </c>
      <c r="J26" s="8">
        <f ca="1">WorkHistory[[#This Row],[Duration_Days]]/7</f>
        <v>0.14285714285714285</v>
      </c>
      <c r="K26" s="9">
        <f t="shared" si="0"/>
        <v>2022</v>
      </c>
    </row>
    <row r="27" spans="1:11" x14ac:dyDescent="0.35">
      <c r="A27" s="10" t="s">
        <v>44</v>
      </c>
      <c r="B27" s="10" t="s">
        <v>17</v>
      </c>
      <c r="C27" s="5" t="s">
        <v>13</v>
      </c>
      <c r="D27" s="10" t="s">
        <v>27</v>
      </c>
      <c r="E27" s="10" t="s">
        <v>19</v>
      </c>
      <c r="F27" s="11">
        <v>44748</v>
      </c>
      <c r="G27" s="11">
        <v>44749</v>
      </c>
      <c r="H27"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1 days</v>
      </c>
      <c r="I27" s="7">
        <f ca="1">IF(WorkHistory[[#This Row],[End_Date]]="",TODAY()-WorkHistory[[#This Row],[Start_Date]],WorkHistory[[#This Row],[End_Date]]-WorkHistory[[#This Row],[Start_Date]])</f>
        <v>1</v>
      </c>
      <c r="J27" s="8">
        <f ca="1">WorkHistory[[#This Row],[Duration_Days]]/7</f>
        <v>0.14285714285714285</v>
      </c>
      <c r="K27" s="9">
        <f t="shared" si="0"/>
        <v>2022</v>
      </c>
    </row>
    <row r="28" spans="1:11" x14ac:dyDescent="0.35">
      <c r="A28" s="10" t="s">
        <v>33</v>
      </c>
      <c r="B28" s="10" t="s">
        <v>17</v>
      </c>
      <c r="C28" s="5" t="s">
        <v>13</v>
      </c>
      <c r="D28" s="10" t="s">
        <v>25</v>
      </c>
      <c r="E28" s="10" t="s">
        <v>19</v>
      </c>
      <c r="F28" s="11">
        <v>44750</v>
      </c>
      <c r="G28" s="11">
        <v>44751</v>
      </c>
      <c r="H28"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1 days</v>
      </c>
      <c r="I28" s="7">
        <f ca="1">IF(WorkHistory[[#This Row],[End_Date]]="",TODAY()-WorkHistory[[#This Row],[Start_Date]],WorkHistory[[#This Row],[End_Date]]-WorkHistory[[#This Row],[Start_Date]])</f>
        <v>1</v>
      </c>
      <c r="J28" s="8">
        <f ca="1">WorkHistory[[#This Row],[Duration_Days]]/7</f>
        <v>0.14285714285714285</v>
      </c>
      <c r="K28" s="9">
        <f t="shared" si="0"/>
        <v>2022</v>
      </c>
    </row>
    <row r="29" spans="1:11" x14ac:dyDescent="0.35">
      <c r="A29" s="10" t="s">
        <v>44</v>
      </c>
      <c r="B29" s="10" t="s">
        <v>17</v>
      </c>
      <c r="C29" s="5" t="s">
        <v>13</v>
      </c>
      <c r="D29" s="10" t="s">
        <v>27</v>
      </c>
      <c r="E29" s="10" t="s">
        <v>19</v>
      </c>
      <c r="F29" s="11">
        <v>44753</v>
      </c>
      <c r="G29" s="11">
        <v>44754</v>
      </c>
      <c r="H29"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1 days</v>
      </c>
      <c r="I29" s="7">
        <f ca="1">IF(WorkHistory[[#This Row],[End_Date]]="",TODAY()-WorkHistory[[#This Row],[Start_Date]],WorkHistory[[#This Row],[End_Date]]-WorkHistory[[#This Row],[Start_Date]])</f>
        <v>1</v>
      </c>
      <c r="J29" s="8">
        <f ca="1">WorkHistory[[#This Row],[Duration_Days]]/7</f>
        <v>0.14285714285714285</v>
      </c>
      <c r="K29" s="9">
        <f t="shared" si="0"/>
        <v>2022</v>
      </c>
    </row>
    <row r="30" spans="1:11" x14ac:dyDescent="0.35">
      <c r="A30" s="10" t="s">
        <v>31</v>
      </c>
      <c r="B30" s="10" t="s">
        <v>17</v>
      </c>
      <c r="C30" s="5" t="s">
        <v>13</v>
      </c>
      <c r="D30" s="10" t="s">
        <v>32</v>
      </c>
      <c r="E30" s="10" t="s">
        <v>19</v>
      </c>
      <c r="F30" s="11">
        <v>44755</v>
      </c>
      <c r="G30" s="11">
        <v>44756</v>
      </c>
      <c r="H30"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1 days</v>
      </c>
      <c r="I30" s="7">
        <f ca="1">IF(WorkHistory[[#This Row],[End_Date]]="",TODAY()-WorkHistory[[#This Row],[Start_Date]],WorkHistory[[#This Row],[End_Date]]-WorkHistory[[#This Row],[Start_Date]])</f>
        <v>1</v>
      </c>
      <c r="J30" s="8">
        <f ca="1">WorkHistory[[#This Row],[Duration_Days]]/7</f>
        <v>0.14285714285714285</v>
      </c>
      <c r="K30" s="9">
        <f t="shared" si="0"/>
        <v>2022</v>
      </c>
    </row>
    <row r="31" spans="1:11" x14ac:dyDescent="0.35">
      <c r="A31" s="10" t="s">
        <v>45</v>
      </c>
      <c r="B31" s="10" t="s">
        <v>17</v>
      </c>
      <c r="C31" s="5" t="s">
        <v>13</v>
      </c>
      <c r="D31" s="10" t="s">
        <v>27</v>
      </c>
      <c r="E31" s="10" t="s">
        <v>19</v>
      </c>
      <c r="F31" s="11">
        <v>44756</v>
      </c>
      <c r="G31" s="11">
        <v>44757</v>
      </c>
      <c r="H31"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1 days</v>
      </c>
      <c r="I31" s="7">
        <f ca="1">IF(WorkHistory[[#This Row],[End_Date]]="",TODAY()-WorkHistory[[#This Row],[Start_Date]],WorkHistory[[#This Row],[End_Date]]-WorkHistory[[#This Row],[Start_Date]])</f>
        <v>1</v>
      </c>
      <c r="J31" s="8">
        <f ca="1">WorkHistory[[#This Row],[Duration_Days]]/7</f>
        <v>0.14285714285714285</v>
      </c>
      <c r="K31" s="9">
        <f t="shared" si="0"/>
        <v>2022</v>
      </c>
    </row>
    <row r="32" spans="1:11" x14ac:dyDescent="0.35">
      <c r="A32" s="10" t="s">
        <v>39</v>
      </c>
      <c r="B32" s="10" t="s">
        <v>17</v>
      </c>
      <c r="C32" s="5" t="s">
        <v>13</v>
      </c>
      <c r="D32" s="10" t="s">
        <v>29</v>
      </c>
      <c r="E32" s="10" t="s">
        <v>19</v>
      </c>
      <c r="F32" s="11">
        <v>44767</v>
      </c>
      <c r="G32" s="11">
        <v>44771</v>
      </c>
      <c r="H32"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4 days</v>
      </c>
      <c r="I32" s="7">
        <f ca="1">IF(WorkHistory[[#This Row],[End_Date]]="",TODAY()-WorkHistory[[#This Row],[Start_Date]],WorkHistory[[#This Row],[End_Date]]-WorkHistory[[#This Row],[Start_Date]])</f>
        <v>4</v>
      </c>
      <c r="J32" s="8">
        <f ca="1">WorkHistory[[#This Row],[Duration_Days]]/7</f>
        <v>0.5714285714285714</v>
      </c>
      <c r="K32" s="9">
        <f t="shared" si="0"/>
        <v>2022</v>
      </c>
    </row>
    <row r="33" spans="1:11" x14ac:dyDescent="0.35">
      <c r="A33" s="10" t="s">
        <v>39</v>
      </c>
      <c r="B33" s="10" t="s">
        <v>17</v>
      </c>
      <c r="C33" s="5" t="s">
        <v>13</v>
      </c>
      <c r="D33" s="10" t="s">
        <v>29</v>
      </c>
      <c r="E33" s="10" t="s">
        <v>19</v>
      </c>
      <c r="F33" s="11">
        <v>44790</v>
      </c>
      <c r="G33" s="11">
        <v>44791</v>
      </c>
      <c r="H33"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1 days</v>
      </c>
      <c r="I33" s="7">
        <f ca="1">IF(WorkHistory[[#This Row],[End_Date]]="",TODAY()-WorkHistory[[#This Row],[Start_Date]],WorkHistory[[#This Row],[End_Date]]-WorkHistory[[#This Row],[Start_Date]])</f>
        <v>1</v>
      </c>
      <c r="J33" s="8">
        <f ca="1">WorkHistory[[#This Row],[Duration_Days]]/7</f>
        <v>0.14285714285714285</v>
      </c>
      <c r="K33" s="9">
        <f t="shared" si="0"/>
        <v>2022</v>
      </c>
    </row>
    <row r="34" spans="1:11" x14ac:dyDescent="0.35">
      <c r="A34" s="10" t="s">
        <v>39</v>
      </c>
      <c r="B34" s="10" t="s">
        <v>17</v>
      </c>
      <c r="C34" s="5" t="s">
        <v>13</v>
      </c>
      <c r="D34" s="10" t="s">
        <v>29</v>
      </c>
      <c r="E34" s="10" t="s">
        <v>19</v>
      </c>
      <c r="F34" s="11">
        <v>44795</v>
      </c>
      <c r="G34" s="11">
        <v>44798</v>
      </c>
      <c r="H34"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3 days</v>
      </c>
      <c r="I34" s="7">
        <f ca="1">IF(WorkHistory[[#This Row],[End_Date]]="",TODAY()-WorkHistory[[#This Row],[Start_Date]],WorkHistory[[#This Row],[End_Date]]-WorkHistory[[#This Row],[Start_Date]])</f>
        <v>3</v>
      </c>
      <c r="J34" s="8">
        <f ca="1">WorkHistory[[#This Row],[Duration_Days]]/7</f>
        <v>0.42857142857142855</v>
      </c>
      <c r="K34" s="9">
        <f t="shared" si="0"/>
        <v>2022</v>
      </c>
    </row>
    <row r="35" spans="1:11" x14ac:dyDescent="0.35">
      <c r="A35" s="10" t="s">
        <v>39</v>
      </c>
      <c r="B35" s="10" t="s">
        <v>17</v>
      </c>
      <c r="C35" s="5" t="s">
        <v>13</v>
      </c>
      <c r="D35" s="10" t="s">
        <v>29</v>
      </c>
      <c r="E35" s="10" t="s">
        <v>19</v>
      </c>
      <c r="F35" s="11">
        <v>44804</v>
      </c>
      <c r="G35" s="11">
        <v>44806</v>
      </c>
      <c r="H35"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2 days</v>
      </c>
      <c r="I35" s="7">
        <f ca="1">IF(WorkHistory[[#This Row],[End_Date]]="",TODAY()-WorkHistory[[#This Row],[Start_Date]],WorkHistory[[#This Row],[End_Date]]-WorkHistory[[#This Row],[Start_Date]])</f>
        <v>2</v>
      </c>
      <c r="J35" s="8">
        <f ca="1">WorkHistory[[#This Row],[Duration_Days]]/7</f>
        <v>0.2857142857142857</v>
      </c>
      <c r="K35" s="9">
        <f t="shared" si="0"/>
        <v>2022</v>
      </c>
    </row>
    <row r="36" spans="1:11" x14ac:dyDescent="0.35">
      <c r="A36" s="10" t="s">
        <v>46</v>
      </c>
      <c r="B36" s="10" t="s">
        <v>17</v>
      </c>
      <c r="C36" s="5" t="s">
        <v>13</v>
      </c>
      <c r="D36" s="10" t="s">
        <v>21</v>
      </c>
      <c r="E36" s="10" t="s">
        <v>19</v>
      </c>
      <c r="F36" s="11">
        <v>44818</v>
      </c>
      <c r="G36" s="11">
        <v>44819</v>
      </c>
      <c r="H36"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1 days</v>
      </c>
      <c r="I36" s="7">
        <f ca="1">IF(WorkHistory[[#This Row],[End_Date]]="",TODAY()-WorkHistory[[#This Row],[Start_Date]],WorkHistory[[#This Row],[End_Date]]-WorkHistory[[#This Row],[Start_Date]])</f>
        <v>1</v>
      </c>
      <c r="J36" s="8">
        <f ca="1">WorkHistory[[#This Row],[Duration_Days]]/7</f>
        <v>0.14285714285714285</v>
      </c>
      <c r="K36" s="9">
        <f t="shared" si="0"/>
        <v>2022</v>
      </c>
    </row>
    <row r="37" spans="1:11" x14ac:dyDescent="0.35">
      <c r="A37" s="10" t="s">
        <v>39</v>
      </c>
      <c r="B37" s="10" t="s">
        <v>17</v>
      </c>
      <c r="C37" s="5" t="s">
        <v>13</v>
      </c>
      <c r="D37" s="10" t="s">
        <v>29</v>
      </c>
      <c r="E37" s="10" t="s">
        <v>19</v>
      </c>
      <c r="F37" s="11">
        <v>44819</v>
      </c>
      <c r="G37" s="11">
        <v>44820</v>
      </c>
      <c r="H37"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1 days</v>
      </c>
      <c r="I37" s="7">
        <f ca="1">IF(WorkHistory[[#This Row],[End_Date]]="",TODAY()-WorkHistory[[#This Row],[Start_Date]],WorkHistory[[#This Row],[End_Date]]-WorkHistory[[#This Row],[Start_Date]])</f>
        <v>1</v>
      </c>
      <c r="J37" s="8">
        <f ca="1">WorkHistory[[#This Row],[Duration_Days]]/7</f>
        <v>0.14285714285714285</v>
      </c>
      <c r="K37" s="9">
        <f t="shared" si="0"/>
        <v>2022</v>
      </c>
    </row>
    <row r="38" spans="1:11" x14ac:dyDescent="0.35">
      <c r="A38" s="10" t="s">
        <v>30</v>
      </c>
      <c r="B38" s="10" t="s">
        <v>17</v>
      </c>
      <c r="C38" s="5" t="s">
        <v>13</v>
      </c>
      <c r="D38" s="10" t="s">
        <v>23</v>
      </c>
      <c r="E38" s="10" t="s">
        <v>19</v>
      </c>
      <c r="F38" s="11">
        <v>45349</v>
      </c>
      <c r="G38" s="11">
        <v>45365</v>
      </c>
      <c r="H38"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16 days</v>
      </c>
      <c r="I38" s="7">
        <f ca="1">IF(WorkHistory[[#This Row],[End_Date]]="",TODAY()-WorkHistory[[#This Row],[Start_Date]],WorkHistory[[#This Row],[End_Date]]-WorkHistory[[#This Row],[Start_Date]])</f>
        <v>16</v>
      </c>
      <c r="J38" s="8">
        <f ca="1">WorkHistory[[#This Row],[Duration_Days]]/7</f>
        <v>2.2857142857142856</v>
      </c>
      <c r="K38" s="9">
        <f t="shared" si="0"/>
        <v>2024</v>
      </c>
    </row>
    <row r="39" spans="1:11" x14ac:dyDescent="0.35">
      <c r="A39" t="s">
        <v>47</v>
      </c>
      <c r="B39" t="s">
        <v>12</v>
      </c>
      <c r="C39" s="5" t="s">
        <v>13</v>
      </c>
      <c r="D39" t="s">
        <v>48</v>
      </c>
      <c r="E39" t="s">
        <v>49</v>
      </c>
      <c r="F39" s="11">
        <v>45573</v>
      </c>
      <c r="G39" s="11">
        <v>45774</v>
      </c>
      <c r="H39"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6 months, 19 days</v>
      </c>
      <c r="I39" s="7">
        <f ca="1">IF(WorkHistory[[#This Row],[End_Date]]="",TODAY()-WorkHistory[[#This Row],[Start_Date]],WorkHistory[[#This Row],[End_Date]]-WorkHistory[[#This Row],[Start_Date]])</f>
        <v>201</v>
      </c>
      <c r="J39" s="12">
        <f ca="1">WorkHistory[[#This Row],[Duration_Days]]/7</f>
        <v>28.714285714285715</v>
      </c>
      <c r="K39" s="9">
        <f t="shared" si="0"/>
        <v>2024</v>
      </c>
    </row>
    <row r="40" spans="1:11" x14ac:dyDescent="0.35">
      <c r="A40" s="10" t="s">
        <v>50</v>
      </c>
      <c r="B40" s="10" t="s">
        <v>17</v>
      </c>
      <c r="C40" s="5" t="s">
        <v>13</v>
      </c>
      <c r="D40" t="s">
        <v>51</v>
      </c>
      <c r="E40" s="10" t="s">
        <v>19</v>
      </c>
      <c r="F40" s="11">
        <v>45593</v>
      </c>
      <c r="G40" s="11">
        <v>45695</v>
      </c>
      <c r="H40"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3 months, 10 days</v>
      </c>
      <c r="I40" s="7">
        <f ca="1">IF(WorkHistory[[#This Row],[End_Date]]="",TODAY()-WorkHistory[[#This Row],[Start_Date]],WorkHistory[[#This Row],[End_Date]]-WorkHistory[[#This Row],[Start_Date]])</f>
        <v>102</v>
      </c>
      <c r="J40" s="8">
        <f ca="1">WorkHistory[[#This Row],[Duration_Days]]/7</f>
        <v>14.571428571428571</v>
      </c>
      <c r="K40" s="9">
        <f t="shared" si="0"/>
        <v>2024</v>
      </c>
    </row>
    <row r="41" spans="1:11" x14ac:dyDescent="0.35">
      <c r="A41" s="10" t="s">
        <v>52</v>
      </c>
      <c r="B41" s="10" t="s">
        <v>17</v>
      </c>
      <c r="C41" s="5" t="s">
        <v>13</v>
      </c>
      <c r="D41" s="10" t="s">
        <v>23</v>
      </c>
      <c r="E41" s="10" t="s">
        <v>19</v>
      </c>
      <c r="F41" s="11">
        <v>45698</v>
      </c>
      <c r="G41" s="13">
        <v>46066</v>
      </c>
      <c r="H41"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12 months, 3 days</v>
      </c>
      <c r="I41" s="7">
        <f ca="1">IF(WorkHistory[[#This Row],[End_Date]]="",TODAY()-WorkHistory[[#This Row],[Start_Date]],WorkHistory[[#This Row],[End_Date]]-WorkHistory[[#This Row],[Start_Date]])</f>
        <v>368</v>
      </c>
      <c r="J41" s="8">
        <f ca="1">WorkHistory[[#This Row],[Duration_Days]]/7</f>
        <v>52.571428571428569</v>
      </c>
      <c r="K41" s="9">
        <f t="shared" si="0"/>
        <v>2025</v>
      </c>
    </row>
    <row r="42" spans="1:11" x14ac:dyDescent="0.35">
      <c r="A42" t="s">
        <v>53</v>
      </c>
      <c r="B42" t="s">
        <v>54</v>
      </c>
      <c r="C42" t="s">
        <v>55</v>
      </c>
      <c r="D42" t="s">
        <v>56</v>
      </c>
      <c r="E42" t="s">
        <v>19</v>
      </c>
      <c r="F42" s="11">
        <v>44827</v>
      </c>
      <c r="G42" s="11">
        <v>45099</v>
      </c>
      <c r="H42"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8 months, 30 days</v>
      </c>
      <c r="I42" s="7">
        <f ca="1">IF(WorkHistory[[#This Row],[End_Date]]="",TODAY()-WorkHistory[[#This Row],[Start_Date]],WorkHistory[[#This Row],[End_Date]]-WorkHistory[[#This Row],[Start_Date]])</f>
        <v>272</v>
      </c>
      <c r="J42" s="12">
        <f ca="1">WorkHistory[[#This Row],[Duration_Days]]/7</f>
        <v>38.857142857142854</v>
      </c>
      <c r="K42" s="9">
        <f>YEAR(F42)</f>
        <v>2022</v>
      </c>
    </row>
    <row r="43" spans="1:11" x14ac:dyDescent="0.35">
      <c r="A43" t="s">
        <v>57</v>
      </c>
      <c r="B43" t="s">
        <v>58</v>
      </c>
      <c r="C43" t="s">
        <v>55</v>
      </c>
      <c r="D43" t="s">
        <v>59</v>
      </c>
      <c r="E43" t="s">
        <v>60</v>
      </c>
      <c r="F43" s="11">
        <v>39125</v>
      </c>
      <c r="G43" s="11">
        <v>40888</v>
      </c>
      <c r="H43"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57 months, 29 days</v>
      </c>
      <c r="I43" s="7">
        <f ca="1">IF(WorkHistory[[#This Row],[End_Date]]="",TODAY()-WorkHistory[[#This Row],[Start_Date]],WorkHistory[[#This Row],[End_Date]]-WorkHistory[[#This Row],[Start_Date]])</f>
        <v>1763</v>
      </c>
      <c r="J43" s="12">
        <f ca="1">WorkHistory[[#This Row],[Duration_Days]]/7</f>
        <v>251.85714285714286</v>
      </c>
      <c r="K43" s="9">
        <f>YEAR(F43)</f>
        <v>2007</v>
      </c>
    </row>
    <row r="44" spans="1:11" x14ac:dyDescent="0.35">
      <c r="A44" t="s">
        <v>61</v>
      </c>
      <c r="B44" t="s">
        <v>62</v>
      </c>
      <c r="C44" t="s">
        <v>55</v>
      </c>
      <c r="D44" t="s">
        <v>48</v>
      </c>
      <c r="E44" t="s">
        <v>19</v>
      </c>
      <c r="F44" s="11">
        <v>45230</v>
      </c>
      <c r="G44" s="11">
        <v>45579</v>
      </c>
      <c r="H44"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11 months, 13 days</v>
      </c>
      <c r="I44" s="7">
        <f ca="1">IF(WorkHistory[[#This Row],[End_Date]]="",TODAY()-WorkHistory[[#This Row],[Start_Date]],WorkHistory[[#This Row],[End_Date]]-WorkHistory[[#This Row],[Start_Date]])</f>
        <v>349</v>
      </c>
      <c r="J44" s="12">
        <f ca="1">WorkHistory[[#This Row],[Duration_Days]]/7</f>
        <v>49.857142857142854</v>
      </c>
      <c r="K44" s="9">
        <f>YEAR(F44)</f>
        <v>2023</v>
      </c>
    </row>
    <row r="45" spans="1:11" x14ac:dyDescent="0.35">
      <c r="A45" t="s">
        <v>63</v>
      </c>
      <c r="B45" t="s">
        <v>64</v>
      </c>
      <c r="C45" t="s">
        <v>55</v>
      </c>
      <c r="D45" t="s">
        <v>65</v>
      </c>
      <c r="E45" t="s">
        <v>60</v>
      </c>
      <c r="F45" s="11">
        <v>38515</v>
      </c>
      <c r="G45" s="11">
        <v>38918</v>
      </c>
      <c r="H45"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13 months, 8 days</v>
      </c>
      <c r="I45" s="7">
        <f ca="1">IF(WorkHistory[[#This Row],[End_Date]]="",TODAY()-WorkHistory[[#This Row],[Start_Date]],WorkHistory[[#This Row],[End_Date]]-WorkHistory[[#This Row],[Start_Date]])</f>
        <v>403</v>
      </c>
      <c r="J45" s="12">
        <f ca="1">WorkHistory[[#This Row],[Duration_Days]]/7</f>
        <v>57.571428571428569</v>
      </c>
      <c r="K45" s="9">
        <f>YEAR(F45)</f>
        <v>2005</v>
      </c>
    </row>
    <row r="46" spans="1:11" x14ac:dyDescent="0.35">
      <c r="A46" t="s">
        <v>66</v>
      </c>
      <c r="B46" t="s">
        <v>67</v>
      </c>
      <c r="C46" t="s">
        <v>55</v>
      </c>
      <c r="D46" t="s">
        <v>25</v>
      </c>
      <c r="E46" t="s">
        <v>19</v>
      </c>
      <c r="F46" s="11">
        <v>44263</v>
      </c>
      <c r="G46" s="11">
        <v>44431</v>
      </c>
      <c r="H46"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5 months, 15 days</v>
      </c>
      <c r="I46" s="7">
        <f ca="1">IF(WorkHistory[[#This Row],[End_Date]]="",TODAY()-WorkHistory[[#This Row],[Start_Date]],WorkHistory[[#This Row],[End_Date]]-WorkHistory[[#This Row],[Start_Date]])</f>
        <v>168</v>
      </c>
      <c r="J46" s="12">
        <f ca="1">WorkHistory[[#This Row],[Duration_Days]]/7</f>
        <v>24</v>
      </c>
      <c r="K46" s="9">
        <f>YEAR(F46)</f>
        <v>2021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Work_Summary</vt:lpstr>
      <vt:lpstr>Work_Clean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Tramaine Stovell</dc:creator>
  <cp:lastModifiedBy>Tramaine Stovell</cp:lastModifiedBy>
  <dcterms:created xsi:type="dcterms:W3CDTF">2026-04-10T14:39:18Z</dcterms:created>
  <dcterms:modified xsi:type="dcterms:W3CDTF">2026-04-10T14:50:53Z</dcterms:modified>
</cp:coreProperties>
</file>